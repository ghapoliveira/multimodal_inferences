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1adef5558ed4b72/Desktop/emoji_bridging/exp2_eeg/materials/"/>
    </mc:Choice>
  </mc:AlternateContent>
  <xr:revisionPtr revIDLastSave="37" documentId="13_ncr:1_{A1B44247-667C-4EAB-BBC9-BD2DD920979A}" xr6:coauthVersionLast="47" xr6:coauthVersionMax="47" xr10:uidLastSave="{1FEA1F54-C135-48A1-8E67-3D24C9E6494A}"/>
  <bookViews>
    <workbookView xWindow="-108" yWindow="-108" windowWidth="23256" windowHeight="13896" xr2:uid="{00000000-000D-0000-FFFF-FFFF00000000}"/>
  </bookViews>
  <sheets>
    <sheet name="fillers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" i="1" l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E144" i="1"/>
  <c r="F143" i="1"/>
  <c r="F142" i="1"/>
  <c r="F141" i="1"/>
  <c r="E141" i="1"/>
  <c r="F140" i="1"/>
  <c r="F139" i="1"/>
  <c r="E139" i="1"/>
  <c r="F138" i="1"/>
  <c r="F137" i="1"/>
  <c r="F136" i="1"/>
  <c r="E136" i="1"/>
  <c r="F135" i="1"/>
  <c r="E135" i="1"/>
  <c r="F134" i="1"/>
  <c r="F133" i="1"/>
  <c r="F132" i="1"/>
  <c r="F131" i="1"/>
  <c r="E131" i="1"/>
  <c r="F130" i="1"/>
  <c r="F129" i="1"/>
  <c r="F128" i="1"/>
  <c r="F127" i="1"/>
  <c r="F126" i="1"/>
  <c r="F125" i="1"/>
  <c r="E125" i="1"/>
  <c r="F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F115" i="1"/>
  <c r="F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<sst xmlns="http://schemas.openxmlformats.org/spreadsheetml/2006/main" count="1836" uniqueCount="806">
  <si>
    <t>id</t>
  </si>
  <si>
    <t>cond</t>
  </si>
  <si>
    <t>questions_pt</t>
  </si>
  <si>
    <t>questions_en</t>
  </si>
  <si>
    <t>list_1</t>
  </si>
  <si>
    <t>list_2</t>
  </si>
  <si>
    <t>list_3</t>
  </si>
  <si>
    <t>list_4</t>
  </si>
  <si>
    <t>list_5</t>
  </si>
  <si>
    <t>list_6</t>
  </si>
  <si>
    <t>a</t>
  </si>
  <si>
    <t>Segundo a mensagem, o evento foi cancelado por causa da chuva?</t>
  </si>
  <si>
    <t>According to the message, was the event cancelled because of the rain?</t>
  </si>
  <si>
    <t>No</t>
  </si>
  <si>
    <t>b</t>
  </si>
  <si>
    <t>According to the message, was the event canceled because of the rain?</t>
  </si>
  <si>
    <t>Yes</t>
  </si>
  <si>
    <t>c</t>
  </si>
  <si>
    <t>O autor diz admirar as habilidades musicais do homem?</t>
  </si>
  <si>
    <t>Does the author say they admire the man's musical abilities?</t>
  </si>
  <si>
    <t>A mensagem diz que o Brasil foi derrotado num jogo de futebol?</t>
  </si>
  <si>
    <t>Does the message say that Brazil was defeated in a soccer match?</t>
  </si>
  <si>
    <t>A mensagem diz que ele não vai beber porque não gosta?</t>
  </si>
  <si>
    <t>Does the message say he won't drink because he doesn't like it?</t>
  </si>
  <si>
    <t>A mensagem especifica que ela vai vestir roupas chiques?</t>
  </si>
  <si>
    <t>Does the message specify that she will wear fancy clothes?</t>
  </si>
  <si>
    <t>Segundo a mensagem, o avião chegou atrasado?</t>
  </si>
  <si>
    <t>According to the message, did the plane arrive late?</t>
  </si>
  <si>
    <t>Segundo a mensagem, eles entraram armados?</t>
  </si>
  <si>
    <t>According to the message, did they go in armed?</t>
  </si>
  <si>
    <t>A mensagem mostra a imagem de um dente?</t>
  </si>
  <si>
    <t>Does the message show an image of a tooth?</t>
  </si>
  <si>
    <t>Segundo a mensagem, eles foram à galeria de casal?</t>
  </si>
  <si>
    <t>According to the message, did they go to the gallery as a couple?</t>
  </si>
  <si>
    <t>Segundo a mensagem, ele caminhou pelo campo?</t>
  </si>
  <si>
    <t>According to the message, did he walk across the field?</t>
  </si>
  <si>
    <t>A mensagem mostrou um animal doméstico?</t>
  </si>
  <si>
    <t>Did the message show a domestic animal?</t>
  </si>
  <si>
    <t>O autor tem aversão a mato?</t>
  </si>
  <si>
    <t>Does the author have an aversion to the woods?</t>
  </si>
  <si>
    <t>A mensagem diz que o restaurante é pouco conhecido?</t>
  </si>
  <si>
    <t>Does the message say the restaurant is little known?</t>
  </si>
  <si>
    <t>A mensagem mostrou um objeto de escritório?</t>
  </si>
  <si>
    <t>Did the message show an office supply?</t>
  </si>
  <si>
    <t>O autor dá motivos para não conseguir sair?</t>
  </si>
  <si>
    <t>Does the author give reasons for not being able to go out?</t>
  </si>
  <si>
    <t>Segundo a mensagem, as pessoas levantaram para aplaudí-la?</t>
  </si>
  <si>
    <t>According to the message, did people stand up to applaud her?</t>
  </si>
  <si>
    <t>Segundo a mensagem, a água estava suja?</t>
  </si>
  <si>
    <t>According to the message, was the water dirty?</t>
  </si>
  <si>
    <t>A mensagem mostrou um hambúrguer?</t>
  </si>
  <si>
    <t>Did the message show a hamburger?</t>
  </si>
  <si>
    <t>Na mensagem, a novidade é um carro novo?</t>
  </si>
  <si>
    <t>In the message, is the news a new car?</t>
  </si>
  <si>
    <t>A internet foi interrompida sem razão aparente na mensagem?</t>
  </si>
  <si>
    <t>Was the internet interrupted for no apparent reason in the message?</t>
  </si>
  <si>
    <t>Na mensagem, os amigos presentearam o autor?</t>
  </si>
  <si>
    <t>In the message, did the friends give the author a gift?</t>
  </si>
  <si>
    <t>Segundo a mensagem, o escorregão envolveu a prática de esportes?</t>
  </si>
  <si>
    <t>According to the message, did the slip involve playing sports?</t>
  </si>
  <si>
    <t>A mensagem mostra uma cara assustada?</t>
  </si>
  <si>
    <t>Does the message show a scared face?</t>
  </si>
  <si>
    <t>A mensagem diz que ela gosta de dormir cedo?</t>
  </si>
  <si>
    <t>Does the message say she likes to go to sleep early?</t>
  </si>
  <si>
    <t>Segundo a mensagem, o autor estava transpirando?</t>
  </si>
  <si>
    <t>According to the message, was the author sweating?</t>
  </si>
  <si>
    <t>A mensagem mostra que a história era falsa?</t>
  </si>
  <si>
    <t>Does the message show that the story was false?</t>
  </si>
  <si>
    <t>A mensagem mostra um papagaio?</t>
  </si>
  <si>
    <t>Does the message show a parrot?</t>
  </si>
  <si>
    <t>A mensagem mostra um emoji em clima de festa?</t>
  </si>
  <si>
    <t>Does the message show an emoji in a party mood?</t>
  </si>
  <si>
    <t>Segundo a mensagem, o autor foi despertado por música alta?</t>
  </si>
  <si>
    <t>According to the message, was the author woken up by loud music?</t>
  </si>
  <si>
    <t>A mensagem mostra uma cobra?</t>
  </si>
  <si>
    <t>Does the message show a snake?</t>
  </si>
  <si>
    <t>A mensagem diz que a  blusa está completamente limpa?</t>
  </si>
  <si>
    <t>Does the message say the shirt is completely clean?</t>
  </si>
  <si>
    <t>F_115</t>
  </si>
  <si>
    <t>filler</t>
  </si>
  <si>
    <t>O autor diz ter tirado a barba na cera?</t>
  </si>
  <si>
    <t>Does the author say he waxed his beard?</t>
  </si>
  <si>
    <t>F_117</t>
  </si>
  <si>
    <t>A mensagem fala de um indivíduo silencioso?</t>
  </si>
  <si>
    <t>Does the message talk about a silent individual?</t>
  </si>
  <si>
    <t>F_12</t>
  </si>
  <si>
    <t>A mensagem diz que o transporte chegou instantaneamente?</t>
  </si>
  <si>
    <t>Does the message say the transportation arrived instantly?</t>
  </si>
  <si>
    <t>F_121</t>
  </si>
  <si>
    <t>A mensagem menciona que um utensílio é pequeno?</t>
  </si>
  <si>
    <t>Does the message mention that a utensil is small?</t>
  </si>
  <si>
    <t>F_129</t>
  </si>
  <si>
    <t>A mensagem diz que a pêra estava madura?</t>
  </si>
  <si>
    <t>Does the message say the pear was ripe?</t>
  </si>
  <si>
    <t>F_142</t>
  </si>
  <si>
    <t>A mensagem mostra um chapéu?</t>
  </si>
  <si>
    <t>Does the message show a hat?</t>
  </si>
  <si>
    <t>F_153</t>
  </si>
  <si>
    <t>O autor disse gostar de por gelo na bebida?</t>
  </si>
  <si>
    <t>Did the author say they like putting ice in their drink?</t>
  </si>
  <si>
    <t>F_154</t>
  </si>
  <si>
    <t>A mensagem diz que os sulistas gostam de uma bebida em especial?</t>
  </si>
  <si>
    <t>Does the message say that Southerners like a special drink?</t>
  </si>
  <si>
    <t>F_158</t>
  </si>
  <si>
    <t>Segundo a mensagem, ingleses gostam de chá?</t>
  </si>
  <si>
    <t>According to the message, do English people like tea?</t>
  </si>
  <si>
    <t>F_159</t>
  </si>
  <si>
    <t>Segundo a mensagem, o autor passou mal de madrugada?</t>
  </si>
  <si>
    <t>According to the message, did the author feel sick in the middle of the night?</t>
  </si>
  <si>
    <t>F_23</t>
  </si>
  <si>
    <t>A mensagem diz que a folhinha foi carregada por um inseto?</t>
  </si>
  <si>
    <t>Does the message say the little leaf was carried by an insect?</t>
  </si>
  <si>
    <t>F_25</t>
  </si>
  <si>
    <t>De acordo com a mensagem, o termômetro marcou temperatura alta?</t>
  </si>
  <si>
    <t>According to the message, did the thermometer show a high temperature?</t>
  </si>
  <si>
    <t>F_26</t>
  </si>
  <si>
    <t>Segundo a mensagem, ela pôs um pente no cabelo?</t>
  </si>
  <si>
    <t>According to the message, did she put a comb in her hair?</t>
  </si>
  <si>
    <t>F_28</t>
  </si>
  <si>
    <t>A mensagem diz que ela usou um objeto para tapar o sol?</t>
  </si>
  <si>
    <t>Does the message say she used an object to block the sun?</t>
  </si>
  <si>
    <t>F_29</t>
  </si>
  <si>
    <t>A frase fala sobre uma planta?</t>
  </si>
  <si>
    <t>Does the sentence talk about a plant?</t>
  </si>
  <si>
    <t>F_3</t>
  </si>
  <si>
    <t>Segundo a mensagem, alguém apagou a vela?</t>
  </si>
  <si>
    <t>According to the message, did someone blow out the candle?</t>
  </si>
  <si>
    <t>F_4</t>
  </si>
  <si>
    <t>Segundo a mensagem, ela gosta de suspense?</t>
  </si>
  <si>
    <t>According to the message, does she like suspense?</t>
  </si>
  <si>
    <t>F_40</t>
  </si>
  <si>
    <t>A mensagem diz que eles fizeram o exame com caneta tinteiro?</t>
  </si>
  <si>
    <t>Does the message say they took the exam with a fountain pen?</t>
  </si>
  <si>
    <t>F_41</t>
  </si>
  <si>
    <t>O autor diz adorar as músicas do rádio?</t>
  </si>
  <si>
    <t>Does the author say they love the songs on the radio?</t>
  </si>
  <si>
    <t>F_46</t>
  </si>
  <si>
    <t>Segundo a mensagem, ele tocou um instrumento na orquestra?</t>
  </si>
  <si>
    <t>According to the message, did he play an instrument in the orchestra?</t>
  </si>
  <si>
    <t>F_60</t>
  </si>
  <si>
    <t>O autor da mensagem partiu o pão com as mãos?</t>
  </si>
  <si>
    <t>Did the author of the message break the bread with their hands?</t>
  </si>
  <si>
    <t>F_61</t>
  </si>
  <si>
    <t>A mensagem menciona que o objeto é antigo?</t>
  </si>
  <si>
    <t>Does the message mention that the object is antique?</t>
  </si>
  <si>
    <t>F_62</t>
  </si>
  <si>
    <t>Segundo a mensagem, o trânsito estava livre?</t>
  </si>
  <si>
    <t>According to the message, was traffic clear?</t>
  </si>
  <si>
    <t>F_66</t>
  </si>
  <si>
    <t>De acordo com a mensagem, eles precisaram de um instrumento luminoso?</t>
  </si>
  <si>
    <t>According to the message, did they need a light-producing instrument?</t>
  </si>
  <si>
    <t>F_69</t>
  </si>
  <si>
    <t>Segundo a mensagem, ela viu uma criatura fantástica?</t>
  </si>
  <si>
    <t>According to the message, did she see a fantastic creature?</t>
  </si>
  <si>
    <t>F_73</t>
  </si>
  <si>
    <t>O autor da mensagem disse gostar de uma fruta?</t>
  </si>
  <si>
    <t>Did the author of the message say they like a fruit?</t>
  </si>
  <si>
    <t>F_77</t>
  </si>
  <si>
    <t>Segundo a mensagem, os astronautas pisaram em Marte?</t>
  </si>
  <si>
    <t>According to the message, did the astronauts step on Mars?</t>
  </si>
  <si>
    <t>F_78</t>
  </si>
  <si>
    <t>A mensagem diz que ela perdeu uma peça de roupa?</t>
  </si>
  <si>
    <t>Does the message say she lost a piece of clothing?</t>
  </si>
  <si>
    <t>F_84</t>
  </si>
  <si>
    <t>A mensagem diz que o macarrão foi feito com molho de tomate?</t>
  </si>
  <si>
    <t>Does the message say the pasta was made with tomato sauce?</t>
  </si>
  <si>
    <t>F_9</t>
  </si>
  <si>
    <t>O autor da mensagem recebeu uma carta da escola?</t>
  </si>
  <si>
    <t>Did the author of the message receive a letter from the school?</t>
  </si>
  <si>
    <t>sentence_pt</t>
  </si>
  <si>
    <t>sentence_en</t>
  </si>
  <si>
    <t>emoji</t>
  </si>
  <si>
    <t>image</t>
  </si>
  <si>
    <t>tags_sentence</t>
  </si>
  <si>
    <t>used</t>
  </si>
  <si>
    <t>n_words</t>
  </si>
  <si>
    <t>n_chars</t>
  </si>
  <si>
    <t>F_1</t>
  </si>
  <si>
    <t>O meu 📱 está sem carga</t>
  </si>
  <si>
    <t>My 📱 has no battery</t>
  </si>
  <si>
    <t>📱</t>
  </si>
  <si>
    <t>[OBJ]</t>
  </si>
  <si>
    <t>no</t>
  </si>
  <si>
    <t>F_2</t>
  </si>
  <si>
    <t>Vimos um 🐒 no zoológico</t>
  </si>
  <si>
    <t>We saw a 🐒 in the zoo</t>
  </si>
  <si>
    <t>🐒</t>
  </si>
  <si>
    <t>[NAT], [ANIMAIS]</t>
  </si>
  <si>
    <t>yes</t>
  </si>
  <si>
    <t>A 🕯️ apagou com o vento</t>
  </si>
  <si>
    <t xml:space="preserve">The 🕯️  was blown out by the wind </t>
  </si>
  <si>
    <t>🕯️</t>
  </si>
  <si>
    <t>Ela adora 📚 de mistério</t>
  </si>
  <si>
    <t>She loves 📚of mystery</t>
  </si>
  <si>
    <t>📚</t>
  </si>
  <si>
    <t>[OBJ], [CULT]</t>
  </si>
  <si>
    <t>F_5</t>
  </si>
  <si>
    <t>O bebê perdeu a 🍼 dele</t>
  </si>
  <si>
    <t>The baby lost his 🍼</t>
  </si>
  <si>
    <t>🍼</t>
  </si>
  <si>
    <t>F_6</t>
  </si>
  <si>
    <t>O 🚿só tem água gelada</t>
  </si>
  <si>
    <t>The 🚿 only has cold water</t>
  </si>
  <si>
    <t>🚿</t>
  </si>
  <si>
    <t>F_7</t>
  </si>
  <si>
    <t>Nunca usei um 🔨 na vida</t>
  </si>
  <si>
    <t>I have never used a 🔨 in my life</t>
  </si>
  <si>
    <t>🔨</t>
  </si>
  <si>
    <t>F_8</t>
  </si>
  <si>
    <t>A 🗝️ não abre essa porta</t>
  </si>
  <si>
    <t>The 🗝️ won't open this door</t>
  </si>
  <si>
    <t>🗝️</t>
  </si>
  <si>
    <t>O banco me mandou uma ✉️</t>
  </si>
  <si>
    <t>The bank sent me a ✉️</t>
  </si>
  <si>
    <t>✉️</t>
  </si>
  <si>
    <t>F_10</t>
  </si>
  <si>
    <t>O 🦁 ruge para se impor</t>
  </si>
  <si>
    <t>The 🦁 roars to assert itself</t>
  </si>
  <si>
    <t>🦁</t>
  </si>
  <si>
    <t>F_11</t>
  </si>
  <si>
    <t>Cortei o dedo com a ✂️</t>
  </si>
  <si>
    <t>I cut my finger with the ✂️</t>
  </si>
  <si>
    <t>✂️</t>
  </si>
  <si>
    <t>O 🚕 demorou para chegar</t>
  </si>
  <si>
    <t>The 🚕 took a long time to arrive</t>
  </si>
  <si>
    <t>[TRANSP]</t>
  </si>
  <si>
    <t>F_13</t>
  </si>
  <si>
    <t>Ele ganhou a 🎖️ de honra</t>
  </si>
  <si>
    <t>He won the 🎖️ of honor</t>
  </si>
  <si>
    <t>🎖️</t>
  </si>
  <si>
    <t>F_14</t>
  </si>
  <si>
    <t>O controle precisa de🔋</t>
  </si>
  <si>
    <t>The remote has no 🔋</t>
  </si>
  <si>
    <t>🔋</t>
  </si>
  <si>
    <t xml:space="preserve">[OBJ] </t>
  </si>
  <si>
    <t>F_15</t>
  </si>
  <si>
    <t>A 🪉 tem melodia triste</t>
  </si>
  <si>
    <t>The 🪉 has a sad melody</t>
  </si>
  <si>
    <t>🪉</t>
  </si>
  <si>
    <t>[CULT]</t>
  </si>
  <si>
    <t>F_16</t>
  </si>
  <si>
    <t>Nós comemos 🍿 no cinema</t>
  </si>
  <si>
    <t>We ate  🍿 at the cinema</t>
  </si>
  <si>
    <t>🍿</t>
  </si>
  <si>
    <t>F_17</t>
  </si>
  <si>
    <t>O 🚓 perseguiu o ladrão</t>
  </si>
  <si>
    <t>The 🚓 chased the thief</t>
  </si>
  <si>
    <t>🚓</t>
  </si>
  <si>
    <t>[PERIGO], [TRANSP]</t>
  </si>
  <si>
    <t>F_18</t>
  </si>
  <si>
    <t>Ele fez um ❤️ para ela</t>
  </si>
  <si>
    <t>He made a ❤️ for her</t>
  </si>
  <si>
    <t>❤️</t>
  </si>
  <si>
    <t>[REL], [EMO]</t>
  </si>
  <si>
    <t>F_19</t>
  </si>
  <si>
    <t>A 🌛 estava bonita ontem</t>
  </si>
  <si>
    <t>The 🌛 was so beautiful yesterday</t>
  </si>
  <si>
    <t>🌛</t>
  </si>
  <si>
    <t>[NAT]</t>
  </si>
  <si>
    <t>F_20</t>
  </si>
  <si>
    <t>Eu não gosto de usar 👔</t>
  </si>
  <si>
    <t>I don't like wearing 👔</t>
  </si>
  <si>
    <t>👔</t>
  </si>
  <si>
    <t>[TRAB]</t>
  </si>
  <si>
    <t>F_21</t>
  </si>
  <si>
    <t>O 🐸 lavou o pé na lagoa</t>
  </si>
  <si>
    <t>🐸</t>
  </si>
  <si>
    <t>F_22</t>
  </si>
  <si>
    <t>O 🚜 limpou a plantação</t>
  </si>
  <si>
    <t>The 🚜 cleared the field</t>
  </si>
  <si>
    <t>🚜</t>
  </si>
  <si>
    <t>[TRANSP], [NAT], [TRAB]</t>
  </si>
  <si>
    <t>A 🐜 carregou a folhinha</t>
  </si>
  <si>
    <t>The 🐜carried the little leaf</t>
  </si>
  <si>
    <t>🐜</t>
  </si>
  <si>
    <t>F_24</t>
  </si>
  <si>
    <t>Eu vi um 👻 na cozinha</t>
  </si>
  <si>
    <t>I saw a 👻 in the kitchen</t>
  </si>
  <si>
    <t>👻</t>
  </si>
  <si>
    <t>[FIC]</t>
  </si>
  <si>
    <t>O 🌡️ está marcando febre</t>
  </si>
  <si>
    <t>The 🌡️ is showing fever</t>
  </si>
  <si>
    <t>🌡️</t>
  </si>
  <si>
    <t>[COR]</t>
  </si>
  <si>
    <t>Ela pôs um🪮 no cabelo</t>
  </si>
  <si>
    <t>She put a 🪮  in her hair</t>
  </si>
  <si>
    <t>🪮</t>
  </si>
  <si>
    <t>[VEST]</t>
  </si>
  <si>
    <t>F_27</t>
  </si>
  <si>
    <t>O volume do 🎧 está alto</t>
  </si>
  <si>
    <t>The volume of the 🎧 is high</t>
  </si>
  <si>
    <t>🎧</t>
  </si>
  <si>
    <t>Ela usou o 🌂 na chuva</t>
  </si>
  <si>
    <t>She used the 🌂 in the rain</t>
  </si>
  <si>
    <t>🌂</t>
  </si>
  <si>
    <t>O 🌵 vive dias sem água</t>
  </si>
  <si>
    <t>The 🌵 survives days without water</t>
  </si>
  <si>
    <t>🌵</t>
  </si>
  <si>
    <t>F_30</t>
  </si>
  <si>
    <t>Nós vimos uma 🐢 no mar</t>
  </si>
  <si>
    <t>We saw a 🐢 in the sea</t>
  </si>
  <si>
    <t>🐢</t>
  </si>
  <si>
    <t>F_31</t>
  </si>
  <si>
    <t>Ele esqueceu a 🎒 na mesa</t>
  </si>
  <si>
    <t>He forgot the 🎒 on the table</t>
  </si>
  <si>
    <t>🎒</t>
  </si>
  <si>
    <t>[OBJ], [ESC]</t>
  </si>
  <si>
    <t>F_32</t>
  </si>
  <si>
    <t>Eu comprei dois 🧢 novos</t>
  </si>
  <si>
    <t>I bought two new 🧢</t>
  </si>
  <si>
    <t>🧢</t>
  </si>
  <si>
    <t>F_33</t>
  </si>
  <si>
    <t>O 🐟 nada muito rápido</t>
  </si>
  <si>
    <t>The 🐟 swims very fast</t>
  </si>
  <si>
    <t>🐟</t>
  </si>
  <si>
    <t>F_34</t>
  </si>
  <si>
    <t>Ela adora cheiro de 🪻</t>
  </si>
  <si>
    <t>She loves the smell of 🪻</t>
  </si>
  <si>
    <t>🪻</t>
  </si>
  <si>
    <t>F_35</t>
  </si>
  <si>
    <t>O 🌋 entrou em erupção</t>
  </si>
  <si>
    <t>The 🌋 erupted</t>
  </si>
  <si>
    <t>🌋</t>
  </si>
  <si>
    <t>F_36</t>
  </si>
  <si>
    <t>Eu bebi um🥤bem gelado</t>
  </si>
  <si>
    <t>I drank a really cold 🥤</t>
  </si>
  <si>
    <t>🥤</t>
  </si>
  <si>
    <t>[CONS]</t>
  </si>
  <si>
    <t>F_37</t>
  </si>
  <si>
    <t>A 🦋 pousou no girassol</t>
  </si>
  <si>
    <t>The 🦋 landed on the sunflower</t>
  </si>
  <si>
    <t>🦋</t>
  </si>
  <si>
    <t>F_38</t>
  </si>
  <si>
    <t>Eu preciso ir comprar 🥖</t>
  </si>
  <si>
    <t>I need to go buy 🥖</t>
  </si>
  <si>
    <t>🥖</t>
  </si>
  <si>
    <t>F_39</t>
  </si>
  <si>
    <t>Ela não se separa do 🧸</t>
  </si>
  <si>
    <t>She is inseparable from her 🧸</t>
  </si>
  <si>
    <t>🧸</t>
  </si>
  <si>
    <t>Eles fizeram o exame à ✏️</t>
  </si>
  <si>
    <t>They used a ✏️ for the exam</t>
  </si>
  <si>
    <t>✏️</t>
  </si>
  <si>
    <t>[ESC]</t>
  </si>
  <si>
    <t>O 📻 só passa música ruim</t>
  </si>
  <si>
    <t>The 📻 only plays bad music</t>
  </si>
  <si>
    <t>📻</t>
  </si>
  <si>
    <t>F_42</t>
  </si>
  <si>
    <t>Nós vimos um 🌈 no céu</t>
  </si>
  <si>
    <t>We saw a 🌈 in the sky</t>
  </si>
  <si>
    <t>🌈</t>
  </si>
  <si>
    <t>F_43</t>
  </si>
  <si>
    <t>A 📸 tirou fotos ótimas</t>
  </si>
  <si>
    <t>The 📸 took excellent photos</t>
  </si>
  <si>
    <t>📸</t>
  </si>
  <si>
    <t>F_44</t>
  </si>
  <si>
    <t>Eu perdi o 📎 da pasta</t>
  </si>
  <si>
    <t>I lost the folder's 📎</t>
  </si>
  <si>
    <t>📎</t>
  </si>
  <si>
    <t>[OBJ], [TRAB], [ESC]</t>
  </si>
  <si>
    <t>F_45</t>
  </si>
  <si>
    <t>O 🦇 voou pela caverna</t>
  </si>
  <si>
    <t>The 🦇 flew through the cave</t>
  </si>
  <si>
    <t>🦇</t>
  </si>
  <si>
    <t>Ela tocou 🎺 na orquestra</t>
  </si>
  <si>
    <t>She played 🎺 at the orchestra</t>
  </si>
  <si>
    <t>🎺</t>
  </si>
  <si>
    <t>F_47</t>
  </si>
  <si>
    <t>A 🚪 estava destrancada</t>
  </si>
  <si>
    <t>The 🚪 was unlocked</t>
  </si>
  <si>
    <t>🚪</t>
  </si>
  <si>
    <t>[OBJ], [LOC]</t>
  </si>
  <si>
    <t>F_48</t>
  </si>
  <si>
    <t>Ela achou uma 🐚 na areia</t>
  </si>
  <si>
    <t>She found a 🐚 on the sand</t>
  </si>
  <si>
    <t>🐚</t>
  </si>
  <si>
    <t>F_49</t>
  </si>
  <si>
    <t>Nós andamos de ⛵ no lago</t>
  </si>
  <si>
    <t>We sailed a ⛵ on the lake</t>
  </si>
  <si>
    <t>⛵</t>
  </si>
  <si>
    <t>[TRANSP], [NAT]</t>
  </si>
  <si>
    <t>F_50</t>
  </si>
  <si>
    <t>Ele perdeu o 🎫 do show</t>
  </si>
  <si>
    <t>She lost the 🎫 for the concert</t>
  </si>
  <si>
    <t>🎫</t>
  </si>
  <si>
    <t>F_51</t>
  </si>
  <si>
    <t>Eu vi uma 🐋 no oceano</t>
  </si>
  <si>
    <t>I saw a 🐋 in the ocean</t>
  </si>
  <si>
    <t>🐋</t>
  </si>
  <si>
    <t>F_52</t>
  </si>
  <si>
    <t>Ele estuda o 🧠 humano</t>
  </si>
  <si>
    <t>He studies the human 🧠</t>
  </si>
  <si>
    <t>🧠</t>
  </si>
  <si>
    <t>[PERIGO], [COR]</t>
  </si>
  <si>
    <t>F_53</t>
  </si>
  <si>
    <t>Ele tocou 🥁 muito alto</t>
  </si>
  <si>
    <t>He played 🥁 too loudly</t>
  </si>
  <si>
    <t>🥁</t>
  </si>
  <si>
    <t>F_54</t>
  </si>
  <si>
    <t>A 🏕️ foi montada na mata</t>
  </si>
  <si>
    <t>The 🏕️ was set up in the woods</t>
  </si>
  <si>
    <t>🏕️</t>
  </si>
  <si>
    <t>[NAT], [LOC]</t>
  </si>
  <si>
    <t>F_55</t>
  </si>
  <si>
    <t>O 🚦 ficou verde agora</t>
  </si>
  <si>
    <t>The 🚦 turned green just now</t>
  </si>
  <si>
    <t>🚦</t>
  </si>
  <si>
    <t>F_56</t>
  </si>
  <si>
    <t>Ela usou o 💄 vermelho</t>
  </si>
  <si>
    <t>She used the red 💄</t>
  </si>
  <si>
    <t>💄</t>
  </si>
  <si>
    <t>F_57</t>
  </si>
  <si>
    <t>Nós vimos um 🐼 na China</t>
  </si>
  <si>
    <t>We saw a 🐼 in China</t>
  </si>
  <si>
    <t>🐼</t>
  </si>
  <si>
    <t>F_58</t>
  </si>
  <si>
    <t>O 🛒 está cheio de frutas</t>
  </si>
  <si>
    <t>The 🛒 is full of fruit</t>
  </si>
  <si>
    <t>🛒</t>
  </si>
  <si>
    <t>F_59</t>
  </si>
  <si>
    <t>O 🗺️ mostrava o tesouro</t>
  </si>
  <si>
    <t>The 🗺️ marked the treasure</t>
  </si>
  <si>
    <t>🗺️</t>
  </si>
  <si>
    <t>[LOC], [FIC]</t>
  </si>
  <si>
    <t>Eu cortei o pão com a 🔪</t>
  </si>
  <si>
    <t>I sliced bread with the 🔪</t>
  </si>
  <si>
    <t>🔪</t>
  </si>
  <si>
    <t>[OBJ], [CONS]</t>
  </si>
  <si>
    <t>O 🏺 tem mais de mil anos</t>
  </si>
  <si>
    <t>The 🏺 is more than a thousand years old</t>
  </si>
  <si>
    <t>🏺</t>
  </si>
  <si>
    <t>O 🚛 bloqueou o trânsito</t>
  </si>
  <si>
    <t>The 🚛 blocked the traffic</t>
  </si>
  <si>
    <t>🚛</t>
  </si>
  <si>
    <t>F_63</t>
  </si>
  <si>
    <t>O cão estraçalhou o 🦴</t>
  </si>
  <si>
    <t>The dog destroyed the 🦴</t>
  </si>
  <si>
    <t>🦴</t>
  </si>
  <si>
    <t>[NAT], [CONS], [COR]</t>
  </si>
  <si>
    <t>F_64</t>
  </si>
  <si>
    <t>Eu vi uma 🦊 na floresta</t>
  </si>
  <si>
    <t>I saw a 🦊 in the forest</t>
  </si>
  <si>
    <t>🦊</t>
  </si>
  <si>
    <t>F_65</t>
  </si>
  <si>
    <t>Tranquei o 🔒 do portão</t>
  </si>
  <si>
    <t>I locked the gate's 🔒</t>
  </si>
  <si>
    <t>🔒</t>
  </si>
  <si>
    <t>[LOC], [PERIGO]</t>
  </si>
  <si>
    <t>Nós tivemos que usar a 🔦</t>
  </si>
  <si>
    <t>We had to use the 🔦</t>
  </si>
  <si>
    <t>🔦</t>
  </si>
  <si>
    <t>[NAT], [OBJ]</t>
  </si>
  <si>
    <t>F_67</t>
  </si>
  <si>
    <t>A bruxa saiu voando na🧹</t>
  </si>
  <si>
    <t>The witch flew off on the 🧹</t>
  </si>
  <si>
    <t>🧹</t>
  </si>
  <si>
    <t>[FIC], [OBJ]</t>
  </si>
  <si>
    <t>F_68</t>
  </si>
  <si>
    <t>A 📺 não pega internet</t>
  </si>
  <si>
    <t>The 📺 doesn't have internet</t>
  </si>
  <si>
    <t>📺</t>
  </si>
  <si>
    <t>Ela viu um 🦄 no desenho</t>
  </si>
  <si>
    <t>She saw a 🦄 in the cartoon</t>
  </si>
  <si>
    <t>🦄</t>
  </si>
  <si>
    <t>[CULT], [FIC], [ANIMAIS]</t>
  </si>
  <si>
    <t>F_70</t>
  </si>
  <si>
    <t>Nós sentamos no 🛋️ novo</t>
  </si>
  <si>
    <t>We sat in the new 🛋️</t>
  </si>
  <si>
    <t>🛋️</t>
  </si>
  <si>
    <t>[LOC]</t>
  </si>
  <si>
    <t>F_71</t>
  </si>
  <si>
    <t>A 🥣 estava muito gostosa</t>
  </si>
  <si>
    <t>The 🥣 was very tasty</t>
  </si>
  <si>
    <t>🥣</t>
  </si>
  <si>
    <t>F_72</t>
  </si>
  <si>
    <t>Ele nunca usou 📐 na aula</t>
  </si>
  <si>
    <t>He never used a 📐 in class</t>
  </si>
  <si>
    <t>📐</t>
  </si>
  <si>
    <t>[CIEN]</t>
  </si>
  <si>
    <t>Eu gosto de 🍉 no verão</t>
  </si>
  <si>
    <t>I like 🍉 in Summer</t>
  </si>
  <si>
    <t>🍉</t>
  </si>
  <si>
    <t>F_74</t>
  </si>
  <si>
    <t>A 🎢 foi muito divertida</t>
  </si>
  <si>
    <t>The 🎢 was very fun</t>
  </si>
  <si>
    <t>🎢</t>
  </si>
  <si>
    <t>F_75</t>
  </si>
  <si>
    <t>Ela viu um 🐊 no mangue</t>
  </si>
  <si>
    <t>She saw a 🐊 in the swamp</t>
  </si>
  <si>
    <t>🐊</t>
  </si>
  <si>
    <t>F_76</t>
  </si>
  <si>
    <t>Tricotei o 🧶 quase todo</t>
  </si>
  <si>
    <t>I knitted almost the whole 🧶</t>
  </si>
  <si>
    <t>🧶</t>
  </si>
  <si>
    <t>Os 🧑‍🚀 pisaram na lua</t>
  </si>
  <si>
    <t>The 🧑‍🚀 stepped on the moon</t>
  </si>
  <si>
    <t>🧑‍🚀</t>
  </si>
  <si>
    <t>[PES], [TRAB], [CIEN]</t>
  </si>
  <si>
    <t>Ele perdeu a 🧤 na rua</t>
  </si>
  <si>
    <t>He lost his 🧤 on the street</t>
  </si>
  <si>
    <t>🧤</t>
  </si>
  <si>
    <t>[VEST], [NAT]</t>
  </si>
  <si>
    <t>F_79</t>
  </si>
  <si>
    <t>O 🛎️ tocou na recepção</t>
  </si>
  <si>
    <t>The 🛎️ rang at the reception</t>
  </si>
  <si>
    <t>🛎️</t>
  </si>
  <si>
    <t>F_80</t>
  </si>
  <si>
    <t>Ela ganhou uma 🌷 linda</t>
  </si>
  <si>
    <t>She received a beautiful 🌷</t>
  </si>
  <si>
    <t>🌷</t>
  </si>
  <si>
    <t>[REL]</t>
  </si>
  <si>
    <t>F_81</t>
  </si>
  <si>
    <t>O 🏗️ levantou a carga</t>
  </si>
  <si>
    <t>The 🏗️ lifted the cargo</t>
  </si>
  <si>
    <t>🏗️</t>
  </si>
  <si>
    <t>F_82</t>
  </si>
  <si>
    <t>Nós vimos um 🐗 selvagem</t>
  </si>
  <si>
    <t>We saw a wild 🐗</t>
  </si>
  <si>
    <t>🐗</t>
  </si>
  <si>
    <t>F_83</t>
  </si>
  <si>
    <t>Não tinha 🧴 no banheiro</t>
  </si>
  <si>
    <t>There was no 🧴 in the bathroom</t>
  </si>
  <si>
    <t>🧴</t>
  </si>
  <si>
    <t>Coloquei 🥫 no macarrão</t>
  </si>
  <si>
    <t>I put 🥫 in the pasta</t>
  </si>
  <si>
    <t>🥫</t>
  </si>
  <si>
    <t>F_85</t>
  </si>
  <si>
    <t>Tem um 🦂 embaixo da cama</t>
  </si>
  <si>
    <t>There's a 🦂 under the bed</t>
  </si>
  <si>
    <t>🦂</t>
  </si>
  <si>
    <t>F_86</t>
  </si>
  <si>
    <t>O 🥢 é difícil de usar</t>
  </si>
  <si>
    <t>The 🥢 is hard to use</t>
  </si>
  <si>
    <t>🥢</t>
  </si>
  <si>
    <t>F_87</t>
  </si>
  <si>
    <t>O 🧪 contaminou a comida</t>
  </si>
  <si>
    <t>The 🧪 contaminated the food</t>
  </si>
  <si>
    <t>🧪</t>
  </si>
  <si>
    <t>[CIEN], [CONS]</t>
  </si>
  <si>
    <t>F_88</t>
  </si>
  <si>
    <t>O 🧩 não está completo</t>
  </si>
  <si>
    <t>The 🧩 is not complete</t>
  </si>
  <si>
    <t>🧩</t>
  </si>
  <si>
    <t>F_89</t>
  </si>
  <si>
    <t>O 🦢 branco é mais raro</t>
  </si>
  <si>
    <t>The white 🦢 is rarer</t>
  </si>
  <si>
    <t>F_90</t>
  </si>
  <si>
    <t>O 🦚 tem diversas cores</t>
  </si>
  <si>
    <t>The 🦚 has many colors</t>
  </si>
  <si>
    <t>F_91</t>
  </si>
  <si>
    <t>Eu vi um 🦩 no caminho</t>
  </si>
  <si>
    <t xml:space="preserve">I saw a 🦩 on the way </t>
  </si>
  <si>
    <t>F_92</t>
  </si>
  <si>
    <t>O 🐙 soltou a sua tinta</t>
  </si>
  <si>
    <t>The 🐙 released its ink</t>
  </si>
  <si>
    <t>F_93</t>
  </si>
  <si>
    <t>Adoro comer 🦀 na praia</t>
  </si>
  <si>
    <t>I love eating 🦀 at the beach</t>
  </si>
  <si>
    <t>[NAT], [ANIMAIS], [CONS]</t>
  </si>
  <si>
    <t>F_94</t>
  </si>
  <si>
    <t>A 🦑 afundou a embarcação</t>
  </si>
  <si>
    <t>The 🦑 sank the vessel</t>
  </si>
  <si>
    <t>[NAT], [ANIMAIS], [TRANSP]</t>
  </si>
  <si>
    <t>F_95</t>
  </si>
  <si>
    <t>O 🦘 pulou a cerca alta</t>
  </si>
  <si>
    <t>The 🦘 jumped the high fence</t>
  </si>
  <si>
    <t>F_96</t>
  </si>
  <si>
    <t>O 🥐 estava bem quentinho</t>
  </si>
  <si>
    <t>F_97</t>
  </si>
  <si>
    <t>O 🥯 tem gergelim em cima</t>
  </si>
  <si>
    <t>The 🥯 has sesame seeds on top</t>
  </si>
  <si>
    <t>F_98</t>
  </si>
  <si>
    <t>A 🥞 com mel ficou ótima</t>
  </si>
  <si>
    <t>The 🥞 with honey turned out great</t>
  </si>
  <si>
    <t>F_99</t>
  </si>
  <si>
    <t>Eu fiz um 🧇 delicioso</t>
  </si>
  <si>
    <t>I made a delicious 🧇</t>
  </si>
  <si>
    <t>F_100</t>
  </si>
  <si>
    <t>A 🧈 derreteu na torrada</t>
  </si>
  <si>
    <t>The 🧈 melted on the toast</t>
  </si>
  <si>
    <t>F_101</t>
  </si>
  <si>
    <t>A roupa tinha um 🧵 solto</t>
  </si>
  <si>
    <t>The clothing had a loose 🧵</t>
  </si>
  <si>
    <t>F_102</t>
  </si>
  <si>
    <t>O 🧷 machucou a criança</t>
  </si>
  <si>
    <t>The 🧷 hurt the kid</t>
  </si>
  <si>
    <t>[PES], [OBJ]</t>
  </si>
  <si>
    <t>F_103</t>
  </si>
  <si>
    <t>Eu tirei o 📌 da parede</t>
  </si>
  <si>
    <t>I took 📌 the off the wall</t>
  </si>
  <si>
    <t>F_104</t>
  </si>
  <si>
    <t>A 🧽 estava muito suja</t>
  </si>
  <si>
    <t>The 🧽 was too dirty</t>
  </si>
  <si>
    <t>[LOC], [OBJ]</t>
  </si>
  <si>
    <t>F_105</t>
  </si>
  <si>
    <t>Eu faço o meu próprio 🧼</t>
  </si>
  <si>
    <t>I make my own 🧼</t>
  </si>
  <si>
    <t>F_106</t>
  </si>
  <si>
    <t>A ⚙️ do motor enguiçou</t>
  </si>
  <si>
    <t>The motor's ⚙️ jammed</t>
  </si>
  <si>
    <t>[TRANSP], [PERIGO]</t>
  </si>
  <si>
    <t>F_107</t>
  </si>
  <si>
    <t>A 🛶 virou no mar agitado</t>
  </si>
  <si>
    <t>The 🛶 capsized in the rough sea</t>
  </si>
  <si>
    <t>[NAT], [TRANSP]</t>
  </si>
  <si>
    <t>F_108</t>
  </si>
  <si>
    <t>Não dá para subir com a🦼</t>
  </si>
  <si>
    <t>There's no way to go up with the 🦼</t>
  </si>
  <si>
    <t>[PES], [TRANSP]</t>
  </si>
  <si>
    <t>F_109</t>
  </si>
  <si>
    <t>Esse 🧥 protege do frio</t>
  </si>
  <si>
    <t>This 🧥 protects from the cold</t>
  </si>
  <si>
    <t>[OBJ], [NAT]</t>
  </si>
  <si>
    <t>F_110</t>
  </si>
  <si>
    <t>Aquela 👘 é de seda pura</t>
  </si>
  <si>
    <t>That 👘 is of pure silk</t>
  </si>
  <si>
    <t>F_111</t>
  </si>
  <si>
    <t>Ela usou o 🩱 na piscina</t>
  </si>
  <si>
    <t>She used 🩱 the in the pool</t>
  </si>
  <si>
    <t>F_112</t>
  </si>
  <si>
    <t>Eu vi dois 🦔 no jardim</t>
  </si>
  <si>
    <t>I saw two 🦔 in the garden</t>
  </si>
  <si>
    <t>F_113</t>
  </si>
  <si>
    <t>O 🐿️ correu para a toca</t>
  </si>
  <si>
    <t>The 🐿️ ran to the burrow</t>
  </si>
  <si>
    <t>🐿️</t>
  </si>
  <si>
    <t>F_114</t>
  </si>
  <si>
    <t>Nunca vi uma 🐑 selvagem</t>
  </si>
  <si>
    <t xml:space="preserve">I've never seen a wild 🐑 </t>
  </si>
  <si>
    <t xml:space="preserve"> 🐑 </t>
  </si>
  <si>
    <t>Eu fiz a barba com a 🪒</t>
  </si>
  <si>
    <t>I shaved with the 🪒</t>
  </si>
  <si>
    <t>🪒</t>
  </si>
  <si>
    <t>F_116</t>
  </si>
  <si>
    <t>Eles registraram minha 🫆</t>
  </si>
  <si>
    <t>They registered my 🫆</t>
  </si>
  <si>
    <t>[TRAB], [CIEN]</t>
  </si>
  <si>
    <t>O 🥷 foi muito sorrateiro</t>
  </si>
  <si>
    <t>The 🥷 was very sneaky</t>
  </si>
  <si>
    <t>[PES], [FIC]</t>
  </si>
  <si>
    <t>F_118</t>
  </si>
  <si>
    <t>Os 💂‍♂️ nunca se mexem</t>
  </si>
  <si>
    <t>The 💂‍♂️ never move</t>
  </si>
  <si>
    <t>[PES], [TRAB]</t>
  </si>
  <si>
    <t>F_119</t>
  </si>
  <si>
    <t>Ele 📽️ o casamento todo</t>
  </si>
  <si>
    <t>He 📽️ the whole wedding</t>
  </si>
  <si>
    <t>F_120</t>
  </si>
  <si>
    <t>A 🪗 é difícil de tocar</t>
  </si>
  <si>
    <t>The 🪗 is hard to play</t>
  </si>
  <si>
    <t>Meu🪞 é pequeno demais</t>
  </si>
  <si>
    <t>My 🪞 is too small</t>
  </si>
  <si>
    <t>F_122</t>
  </si>
  <si>
    <t>Hoje vou relaxar na 🛁</t>
  </si>
  <si>
    <t>Today I'm going to relax in the 🛁</t>
  </si>
  <si>
    <t>F_123</t>
  </si>
  <si>
    <t>Os 🫐  estavam estragados</t>
  </si>
  <si>
    <t>The 🫐 were spoiled</t>
  </si>
  <si>
    <t>🫐</t>
  </si>
  <si>
    <t>F_124</t>
  </si>
  <si>
    <t>Eu assei vários 🍞 hoje</t>
  </si>
  <si>
    <t>I baked several 🍞 today</t>
  </si>
  <si>
    <t>F_125</t>
  </si>
  <si>
    <t>O 🥨 estava muito salgado</t>
  </si>
  <si>
    <t>The 🥨 was too salty</t>
  </si>
  <si>
    <t>🥨</t>
  </si>
  <si>
    <t>F_126</t>
  </si>
  <si>
    <t>Eu adoro o cheiro de 🥓</t>
  </si>
  <si>
    <t>I love the smell of 🥓</t>
  </si>
  <si>
    <t>🥓</t>
  </si>
  <si>
    <t>F_127</t>
  </si>
  <si>
    <t>Fiz uma receita com 🥒</t>
  </si>
  <si>
    <t>I made a recipe with 🥒</t>
  </si>
  <si>
    <t>🥒</t>
  </si>
  <si>
    <t>F_128</t>
  </si>
  <si>
    <t>Os 🥦 apodreceram rápido</t>
  </si>
  <si>
    <t>🥦</t>
  </si>
  <si>
    <t>A 🍐 estava muito madura</t>
  </si>
  <si>
    <t>The 🍐 was too ripe</t>
  </si>
  <si>
    <t>🍐</t>
  </si>
  <si>
    <t>F_130</t>
  </si>
  <si>
    <t>🍑 é minha fruta favorita</t>
  </si>
  <si>
    <t>🍑 is my favorite fruit</t>
  </si>
  <si>
    <t>F_131</t>
  </si>
  <si>
    <t>Tenho um pé de🥑 em casa</t>
  </si>
  <si>
    <t>I have an 🥑 tree at home</t>
  </si>
  <si>
    <t>🥑</t>
  </si>
  <si>
    <t>F_132</t>
  </si>
  <si>
    <t>Prefiro a 🍇 sem caroço</t>
  </si>
  <si>
    <t>I prefer 🍇 without seeds</t>
  </si>
  <si>
    <t>🍇</t>
  </si>
  <si>
    <t>F_133</t>
  </si>
  <si>
    <t>Eu não gosto muito de 🍟</t>
  </si>
  <si>
    <t>I don't like 🍟 too much</t>
  </si>
  <si>
    <t>🍟</t>
  </si>
  <si>
    <t>F_134</t>
  </si>
  <si>
    <t>A 🦉 enxerga bem longe</t>
  </si>
  <si>
    <t>The 🦉 sees very far</t>
  </si>
  <si>
    <t>F_135</t>
  </si>
  <si>
    <t>Os 🐨 são muito fofinhos</t>
  </si>
  <si>
    <t>🐨 are very cute</t>
  </si>
  <si>
    <t>F_136</t>
  </si>
  <si>
    <t>✍️ um recado para eles</t>
  </si>
  <si>
    <t>✍️ a message to them</t>
  </si>
  <si>
    <t>✍️</t>
  </si>
  <si>
    <t>F_137</t>
  </si>
  <si>
    <t>Ela 🏃‍♀️‍➡️ para o trabalho</t>
  </si>
  <si>
    <t>She 🏃‍♀️‍➡️ to work</t>
  </si>
  <si>
    <t>🏃‍♀️‍➡️</t>
  </si>
  <si>
    <t>F_138</t>
  </si>
  <si>
    <t>O 🧑‍⚖️ julgou o processo</t>
  </si>
  <si>
    <t>The 🧑‍⚖️ judged the process</t>
  </si>
  <si>
    <t>F_139</t>
  </si>
  <si>
    <t>Adoro comer 🌮 mexicanos</t>
  </si>
  <si>
    <t>I love eating Mexican 🌮</t>
  </si>
  <si>
    <t>🌮</t>
  </si>
  <si>
    <t>F_140</t>
  </si>
  <si>
    <t>A 👸 deu ordens ao servo</t>
  </si>
  <si>
    <t>The 👸 gave orders to the servant</t>
  </si>
  <si>
    <t>F_141</t>
  </si>
  <si>
    <t>Não sei nem 🍳 direito</t>
  </si>
  <si>
    <t>I don't even know how to 🍳 properly</t>
  </si>
  <si>
    <t>🍳</t>
  </si>
  <si>
    <t>Eu acho chique usar 👒</t>
  </si>
  <si>
    <t>I think it's fancy to wear👒</t>
  </si>
  <si>
    <t>👒</t>
  </si>
  <si>
    <t>F_143</t>
  </si>
  <si>
    <t>A 🧜‍♀️ cantou uma canção</t>
  </si>
  <si>
    <t>The 🧜‍♀️ sang a song</t>
  </si>
  <si>
    <t>F_144</t>
  </si>
  <si>
    <t>Fiquei de 🦥 em casa hoje</t>
  </si>
  <si>
    <t xml:space="preserve"> 🦥 </t>
  </si>
  <si>
    <t>F_145</t>
  </si>
  <si>
    <t>Esse 👟 machuca meu pé</t>
  </si>
  <si>
    <t>This 👟 hurts my foot</t>
  </si>
  <si>
    <t>👟</t>
  </si>
  <si>
    <t>F_146</t>
  </si>
  <si>
    <t>Não sei cuidar da minha 🪴</t>
  </si>
  <si>
    <t>I don't know how to take care of my 🪴</t>
  </si>
  <si>
    <t>🪴</t>
  </si>
  <si>
    <t>F_147</t>
  </si>
  <si>
    <t>Eu não tenho medo de 🦎</t>
  </si>
  <si>
    <t>I'm not afraid of 🦎</t>
  </si>
  <si>
    <t>🦎</t>
  </si>
  <si>
    <t>F_148</t>
  </si>
  <si>
    <t>Vi um 🐧 perdido na praia</t>
  </si>
  <si>
    <t>I saw a 🐧 lost on the beach</t>
  </si>
  <si>
    <t>🐧</t>
  </si>
  <si>
    <t>F_149</t>
  </si>
  <si>
    <t>Eu nunca montei num 🐴</t>
  </si>
  <si>
    <t>I've never ridden a 🐴</t>
  </si>
  <si>
    <t>🐴</t>
  </si>
  <si>
    <t>F_150</t>
  </si>
  <si>
    <t>O 🦨 solta um fedor forte</t>
  </si>
  <si>
    <t>The 🦨 releases a strong stink</t>
  </si>
  <si>
    <t>🦨</t>
  </si>
  <si>
    <t>F_151</t>
  </si>
  <si>
    <t>A minha 🖋️ azul estourou</t>
  </si>
  <si>
    <t>My blue 🖋️ burst</t>
  </si>
  <si>
    <t>🖋️</t>
  </si>
  <si>
    <t>F_152</t>
  </si>
  <si>
    <t>Fiquei 🧐 na movimentação</t>
  </si>
  <si>
    <t>I 🧐 the movements</t>
  </si>
  <si>
    <t>🧐</t>
  </si>
  <si>
    <t>[AC]</t>
  </si>
  <si>
    <t>Gosto de botar gelo no 🥃</t>
  </si>
  <si>
    <t>I like putting ice in the 🥃</t>
  </si>
  <si>
    <t>🥃</t>
  </si>
  <si>
    <t>Adoram beber 🧉 no Sul</t>
  </si>
  <si>
    <t>🧉</t>
  </si>
  <si>
    <t>F_155</t>
  </si>
  <si>
    <t>Eu joguei uma moeda na ⛲</t>
  </si>
  <si>
    <t>I threw a coin in the ⛲</t>
  </si>
  <si>
    <t>⛲</t>
  </si>
  <si>
    <t>F_156</t>
  </si>
  <si>
    <t>Não sou muito fã de 🍬</t>
  </si>
  <si>
    <t>I'm not a big fan of 🍬</t>
  </si>
  <si>
    <t>🍬</t>
  </si>
  <si>
    <t>F_157</t>
  </si>
  <si>
    <t>Estou bem 😡 com vocês</t>
  </si>
  <si>
    <t>I'm very 😡 at you</t>
  </si>
  <si>
    <t>😡</t>
  </si>
  <si>
    <t>[EMO]</t>
  </si>
  <si>
    <t>Os ingleses gostam de 🍵</t>
  </si>
  <si>
    <t>The English like 🍵</t>
  </si>
  <si>
    <t>🍵</t>
  </si>
  <si>
    <t>Eu 🤮 a madrugada inteira</t>
  </si>
  <si>
    <t>I 🤮 all night</t>
  </si>
  <si>
    <t>🤮</t>
  </si>
  <si>
    <t>F_160</t>
  </si>
  <si>
    <t>O livro me fez 😭 dias</t>
  </si>
  <si>
    <t>The book made me 😭 for days</t>
  </si>
  <si>
    <t>😭</t>
  </si>
  <si>
    <t>[TRAB], [ESC]</t>
  </si>
  <si>
    <t>conjoint_meaning</t>
  </si>
  <si>
    <t>The 🐸 washed its foot in the pond</t>
  </si>
  <si>
    <t>The 🥐 was nice and warm</t>
  </si>
  <si>
    <t>They love drinking 🧉 in the south</t>
  </si>
  <si>
    <t>translation_notes</t>
  </si>
  <si>
    <t>References a popular lullaby in Brazil.</t>
  </si>
  <si>
    <t>"Inho" expresses the diminutive in Portuguese.</t>
  </si>
  <si>
    <t>The 🥦 rotted fast</t>
  </si>
  <si>
    <t>"Apodreceram" is in plural form.</t>
  </si>
  <si>
    <t>I  🦥  at home today.</t>
  </si>
  <si>
    <t xml:space="preserve">To be read "I 'lazied' at home today" — preguiça (sloth) is a homonym with "lazyness" in Portuguese. </t>
  </si>
  <si>
    <t>Refers to "chimarrão/mate". A drink popular in southern Brazil.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</si>
</sst>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EB Garamond"/>
      <family val="2"/>
    </font>
    <font>
      <b/>
      <sz val="12"/>
      <color rgb="FF000000"/>
      <name val="EB Garamond"/>
      <family val="2"/>
    </font>
    <font>
      <b/>
      <sz val="11"/>
      <color rgb="FF000000"/>
      <name val="Arial"/>
      <family val="2"/>
    </font>
    <font>
      <sz val="12"/>
      <color rgb="FF434343"/>
      <name val="EB Garamond"/>
      <family val="2"/>
    </font>
    <font>
      <sz val="11"/>
      <color rgb="FF000000"/>
      <name val="Arial"/>
      <family val="2"/>
    </font>
    <font>
      <u/>
      <sz val="12"/>
      <color rgb="FF434343"/>
      <name val="EB Garamond"/>
      <family val="2"/>
    </font>
    <font>
      <sz val="12"/>
      <color rgb="FF434343"/>
      <name val="EB Garamond"/>
    </font>
  </fonts>
  <fills count="6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F6F8F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3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EB Garamond"/>
        <family val="2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EB Garamond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fillers" displayName="tbl_fillers" ref="A1:J161" totalsRowShown="0">
  <autoFilter ref="A1:J161" xr:uid="{00000000-0009-0000-0100-000002000000}"/>
  <tableColumns count="10">
    <tableColumn id="1" xr3:uid="{00000000-0010-0000-0000-000001000000}" name="id"/>
    <tableColumn id="2" xr3:uid="{00000000-0010-0000-0000-000002000000}" name="sentence_pt"/>
    <tableColumn id="3" xr3:uid="{00000000-0010-0000-0000-000003000000}" name="sentence_en"/>
    <tableColumn id="10" xr3:uid="{C5698077-FAA7-4680-BA3E-AFB26EB90227}" name="translation_notes" dataDxfId="0"/>
    <tableColumn id="4" xr3:uid="{00000000-0010-0000-0000-000004000000}" name="emoji"/>
    <tableColumn id="5" xr3:uid="{00000000-0010-0000-0000-000005000000}" name="image"/>
    <tableColumn id="6" xr3:uid="{00000000-0010-0000-0000-000006000000}" name="tags_sentence"/>
    <tableColumn id="7" xr3:uid="{00000000-0010-0000-0000-000007000000}" name="used"/>
    <tableColumn id="8" xr3:uid="{00000000-0010-0000-0000-000008000000}" name="n_words"/>
    <tableColumn id="9" xr3:uid="{00000000-0010-0000-0000-000009000000}" name="n_chars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questions" displayName="tbl_questions" ref="A1:K124" totalsRowShown="0">
  <autoFilter ref="A1:K124" xr:uid="{00000000-0009-0000-0100-000001000000}"/>
  <tableColumns count="11">
    <tableColumn id="1" xr3:uid="{00000000-0010-0000-0100-000001000000}" name="id"/>
    <tableColumn id="2" xr3:uid="{00000000-0010-0000-0100-000002000000}" name="cond"/>
    <tableColumn id="12" xr3:uid="{C3EB3D13-2EAA-4B15-937F-71292B3FD5C6}" name="conjoint_meaning" dataDxfId="1"/>
    <tableColumn id="3" xr3:uid="{00000000-0010-0000-0100-000003000000}" name="questions_pt"/>
    <tableColumn id="4" xr3:uid="{00000000-0010-0000-0100-000004000000}" name="questions_en"/>
    <tableColumn id="5" xr3:uid="{00000000-0010-0000-0100-000005000000}" name="list_1"/>
    <tableColumn id="6" xr3:uid="{00000000-0010-0000-0100-000006000000}" name="list_2"/>
    <tableColumn id="7" xr3:uid="{00000000-0010-0000-0100-000007000000}" name="list_3"/>
    <tableColumn id="8" xr3:uid="{00000000-0010-0000-0100-000008000000}" name="list_4"/>
    <tableColumn id="9" xr3:uid="{00000000-0010-0000-0100-000009000000}" name="list_5"/>
    <tableColumn id="10" xr3:uid="{00000000-0010-0000-0100-00000A000000}" name="list_6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64"/>
  <sheetViews>
    <sheetView tabSelected="1" workbookViewId="0">
      <pane ySplit="1" topLeftCell="A142" activePane="bottomLeft" state="frozen"/>
      <selection pane="bottomLeft" activeCell="D151" sqref="D151"/>
    </sheetView>
  </sheetViews>
  <sheetFormatPr defaultRowHeight="14.4" x14ac:dyDescent="0.3"/>
  <cols>
    <col min="1" max="1" width="13.5546875" style="14" bestFit="1" customWidth="1"/>
    <col min="2" max="2" width="25.33203125" style="14" bestFit="1" customWidth="1"/>
    <col min="3" max="3" width="37.21875" style="14" bestFit="1" customWidth="1"/>
    <col min="4" max="4" width="89" style="14" bestFit="1" customWidth="1"/>
    <col min="5" max="5" width="13.5546875" style="14" bestFit="1" customWidth="1"/>
    <col min="6" max="7" width="28.33203125" style="14" bestFit="1" customWidth="1"/>
    <col min="8" max="8" width="19.109375" style="13" bestFit="1" customWidth="1"/>
    <col min="9" max="9" width="22.109375" style="13" bestFit="1" customWidth="1"/>
    <col min="10" max="27" width="13.5546875" bestFit="1" customWidth="1"/>
  </cols>
  <sheetData>
    <row r="1" spans="1:28" ht="22.5" customHeight="1" x14ac:dyDescent="0.5">
      <c r="A1" s="16" t="s">
        <v>0</v>
      </c>
      <c r="B1" s="16" t="s">
        <v>169</v>
      </c>
      <c r="C1" s="16" t="s">
        <v>170</v>
      </c>
      <c r="D1" s="16" t="s">
        <v>798</v>
      </c>
      <c r="E1" s="16" t="s">
        <v>171</v>
      </c>
      <c r="F1" s="16" t="s">
        <v>172</v>
      </c>
      <c r="G1" s="16" t="s">
        <v>173</v>
      </c>
      <c r="H1" s="16" t="s">
        <v>174</v>
      </c>
      <c r="I1" s="17" t="s">
        <v>175</v>
      </c>
      <c r="J1" s="17" t="s">
        <v>176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1.75" customHeight="1" x14ac:dyDescent="0.5">
      <c r="A2" s="7" t="s">
        <v>177</v>
      </c>
      <c r="B2" s="7" t="s">
        <v>178</v>
      </c>
      <c r="C2" s="7" t="s">
        <v>179</v>
      </c>
      <c r="D2" s="7"/>
      <c r="E2" s="7" t="s">
        <v>180</v>
      </c>
      <c r="F2" s="7" t="str">
        <f t="shared" ref="F2:F33" si="0">A2&amp;".png"</f>
        <v>F_1.png</v>
      </c>
      <c r="G2" s="7" t="s">
        <v>181</v>
      </c>
      <c r="H2" s="7" t="s">
        <v>182</v>
      </c>
      <c r="I2" s="6">
        <v>6</v>
      </c>
      <c r="J2" s="6">
        <v>23</v>
      </c>
    </row>
    <row r="3" spans="1:28" ht="21.75" customHeight="1" x14ac:dyDescent="0.5">
      <c r="A3" s="12" t="s">
        <v>183</v>
      </c>
      <c r="B3" s="12" t="s">
        <v>184</v>
      </c>
      <c r="C3" s="12" t="s">
        <v>185</v>
      </c>
      <c r="D3" s="12"/>
      <c r="E3" s="12" t="s">
        <v>186</v>
      </c>
      <c r="F3" s="7" t="str">
        <f t="shared" si="0"/>
        <v>F_2.png</v>
      </c>
      <c r="G3" s="12" t="s">
        <v>187</v>
      </c>
      <c r="H3" s="12" t="s">
        <v>188</v>
      </c>
      <c r="I3" s="11">
        <v>5</v>
      </c>
      <c r="J3" s="11">
        <v>24</v>
      </c>
    </row>
    <row r="4" spans="1:28" ht="21.75" customHeight="1" x14ac:dyDescent="0.5">
      <c r="A4" s="7" t="s">
        <v>124</v>
      </c>
      <c r="B4" s="7" t="s">
        <v>189</v>
      </c>
      <c r="C4" s="7" t="s">
        <v>190</v>
      </c>
      <c r="D4" s="7"/>
      <c r="E4" s="7" t="s">
        <v>191</v>
      </c>
      <c r="F4" s="7" t="str">
        <f t="shared" si="0"/>
        <v>F_3.png</v>
      </c>
      <c r="G4" s="7" t="s">
        <v>181</v>
      </c>
      <c r="H4" s="7" t="s">
        <v>188</v>
      </c>
      <c r="I4" s="6">
        <v>6</v>
      </c>
      <c r="J4" s="6">
        <v>24</v>
      </c>
    </row>
    <row r="5" spans="1:28" ht="21.75" customHeight="1" x14ac:dyDescent="0.5">
      <c r="A5" s="12" t="s">
        <v>127</v>
      </c>
      <c r="B5" s="12" t="s">
        <v>192</v>
      </c>
      <c r="C5" s="12" t="s">
        <v>193</v>
      </c>
      <c r="D5" s="12"/>
      <c r="E5" s="12" t="s">
        <v>194</v>
      </c>
      <c r="F5" s="7" t="str">
        <f t="shared" si="0"/>
        <v>F_4.png</v>
      </c>
      <c r="G5" s="12" t="s">
        <v>195</v>
      </c>
      <c r="H5" s="12" t="s">
        <v>188</v>
      </c>
      <c r="I5" s="11">
        <v>5</v>
      </c>
      <c r="J5" s="11">
        <v>24</v>
      </c>
    </row>
    <row r="6" spans="1:28" ht="21.75" customHeight="1" x14ac:dyDescent="0.5">
      <c r="A6" s="7" t="s">
        <v>196</v>
      </c>
      <c r="B6" s="7" t="s">
        <v>197</v>
      </c>
      <c r="C6" s="7" t="s">
        <v>198</v>
      </c>
      <c r="D6" s="7"/>
      <c r="E6" s="7" t="s">
        <v>199</v>
      </c>
      <c r="F6" s="7" t="str">
        <f t="shared" si="0"/>
        <v>F_5.png</v>
      </c>
      <c r="G6" s="7" t="s">
        <v>181</v>
      </c>
      <c r="H6" s="7" t="s">
        <v>188</v>
      </c>
      <c r="I6" s="6">
        <v>6</v>
      </c>
      <c r="J6" s="6">
        <v>23</v>
      </c>
    </row>
    <row r="7" spans="1:28" ht="21.75" customHeight="1" x14ac:dyDescent="0.5">
      <c r="A7" s="12" t="s">
        <v>200</v>
      </c>
      <c r="B7" s="12" t="s">
        <v>201</v>
      </c>
      <c r="C7" s="12" t="s">
        <v>202</v>
      </c>
      <c r="D7" s="12"/>
      <c r="E7" s="12" t="s">
        <v>203</v>
      </c>
      <c r="F7" s="7" t="str">
        <f t="shared" si="0"/>
        <v>F_6.png</v>
      </c>
      <c r="G7" s="12" t="s">
        <v>181</v>
      </c>
      <c r="H7" s="12" t="s">
        <v>188</v>
      </c>
      <c r="I7" s="11">
        <v>5</v>
      </c>
      <c r="J7" s="11">
        <v>22</v>
      </c>
    </row>
    <row r="8" spans="1:28" ht="21.75" customHeight="1" x14ac:dyDescent="0.5">
      <c r="A8" s="7" t="s">
        <v>204</v>
      </c>
      <c r="B8" s="7" t="s">
        <v>205</v>
      </c>
      <c r="C8" s="7" t="s">
        <v>206</v>
      </c>
      <c r="D8" s="7"/>
      <c r="E8" s="7" t="s">
        <v>207</v>
      </c>
      <c r="F8" s="7" t="str">
        <f t="shared" si="0"/>
        <v>F_7.png</v>
      </c>
      <c r="G8" s="7" t="s">
        <v>181</v>
      </c>
      <c r="H8" s="7" t="s">
        <v>188</v>
      </c>
      <c r="I8" s="6">
        <v>6</v>
      </c>
      <c r="J8" s="6">
        <v>24</v>
      </c>
    </row>
    <row r="9" spans="1:28" ht="21.75" customHeight="1" x14ac:dyDescent="0.5">
      <c r="A9" s="12" t="s">
        <v>208</v>
      </c>
      <c r="B9" s="12" t="s">
        <v>209</v>
      </c>
      <c r="C9" s="12" t="s">
        <v>210</v>
      </c>
      <c r="D9" s="12"/>
      <c r="E9" s="12" t="s">
        <v>211</v>
      </c>
      <c r="F9" s="7" t="str">
        <f t="shared" si="0"/>
        <v>F_8.png</v>
      </c>
      <c r="G9" s="12" t="s">
        <v>181</v>
      </c>
      <c r="H9" s="12" t="s">
        <v>188</v>
      </c>
      <c r="I9" s="11">
        <v>6</v>
      </c>
      <c r="J9" s="11">
        <v>25</v>
      </c>
    </row>
    <row r="10" spans="1:28" ht="21.75" customHeight="1" x14ac:dyDescent="0.5">
      <c r="A10" s="7" t="s">
        <v>166</v>
      </c>
      <c r="B10" s="7" t="s">
        <v>212</v>
      </c>
      <c r="C10" s="7" t="s">
        <v>213</v>
      </c>
      <c r="D10" s="7"/>
      <c r="E10" s="7" t="s">
        <v>214</v>
      </c>
      <c r="F10" s="7" t="str">
        <f t="shared" si="0"/>
        <v>F_9.png</v>
      </c>
      <c r="G10" s="7" t="s">
        <v>181</v>
      </c>
      <c r="H10" s="7" t="s">
        <v>188</v>
      </c>
      <c r="I10" s="6">
        <v>6</v>
      </c>
      <c r="J10" s="6">
        <v>24</v>
      </c>
    </row>
    <row r="11" spans="1:28" ht="21.75" customHeight="1" x14ac:dyDescent="0.5">
      <c r="A11" s="12" t="s">
        <v>215</v>
      </c>
      <c r="B11" s="12" t="s">
        <v>216</v>
      </c>
      <c r="C11" s="12" t="s">
        <v>217</v>
      </c>
      <c r="D11" s="12"/>
      <c r="E11" s="12" t="s">
        <v>218</v>
      </c>
      <c r="F11" s="7" t="str">
        <f t="shared" si="0"/>
        <v>F_10.png</v>
      </c>
      <c r="G11" s="12" t="s">
        <v>187</v>
      </c>
      <c r="H11" s="12" t="s">
        <v>188</v>
      </c>
      <c r="I11" s="11">
        <v>6</v>
      </c>
      <c r="J11" s="11">
        <v>23</v>
      </c>
    </row>
    <row r="12" spans="1:28" ht="21.75" customHeight="1" x14ac:dyDescent="0.5">
      <c r="A12" s="7" t="s">
        <v>219</v>
      </c>
      <c r="B12" s="7" t="s">
        <v>220</v>
      </c>
      <c r="C12" s="7" t="s">
        <v>221</v>
      </c>
      <c r="D12" s="7"/>
      <c r="E12" s="7" t="s">
        <v>222</v>
      </c>
      <c r="F12" s="7" t="str">
        <f t="shared" si="0"/>
        <v>F_11.png</v>
      </c>
      <c r="G12" s="7" t="s">
        <v>181</v>
      </c>
      <c r="H12" s="7" t="s">
        <v>188</v>
      </c>
      <c r="I12" s="6">
        <v>6</v>
      </c>
      <c r="J12" s="6">
        <v>22</v>
      </c>
    </row>
    <row r="13" spans="1:28" ht="21.75" customHeight="1" x14ac:dyDescent="0.5">
      <c r="A13" s="12" t="s">
        <v>85</v>
      </c>
      <c r="B13" s="12" t="s">
        <v>223</v>
      </c>
      <c r="C13" s="12" t="s">
        <v>224</v>
      </c>
      <c r="D13" s="12"/>
      <c r="E13" s="12" t="s">
        <v>222</v>
      </c>
      <c r="F13" s="7" t="str">
        <f t="shared" si="0"/>
        <v>F_12.png</v>
      </c>
      <c r="G13" s="12" t="s">
        <v>225</v>
      </c>
      <c r="H13" s="12" t="s">
        <v>188</v>
      </c>
      <c r="I13" s="11">
        <v>5</v>
      </c>
      <c r="J13" s="11">
        <v>24</v>
      </c>
    </row>
    <row r="14" spans="1:28" ht="21.75" customHeight="1" x14ac:dyDescent="0.5">
      <c r="A14" s="7" t="s">
        <v>226</v>
      </c>
      <c r="B14" s="7" t="s">
        <v>227</v>
      </c>
      <c r="C14" s="7" t="s">
        <v>228</v>
      </c>
      <c r="D14" s="7"/>
      <c r="E14" s="7" t="s">
        <v>229</v>
      </c>
      <c r="F14" s="7" t="str">
        <f t="shared" si="0"/>
        <v>F_13.png</v>
      </c>
      <c r="G14" s="7" t="s">
        <v>181</v>
      </c>
      <c r="H14" s="7" t="s">
        <v>182</v>
      </c>
      <c r="I14" s="6">
        <v>6</v>
      </c>
      <c r="J14" s="6">
        <v>25</v>
      </c>
    </row>
    <row r="15" spans="1:28" ht="21.75" customHeight="1" x14ac:dyDescent="0.5">
      <c r="A15" s="12" t="s">
        <v>230</v>
      </c>
      <c r="B15" s="12" t="s">
        <v>231</v>
      </c>
      <c r="C15" s="12" t="s">
        <v>232</v>
      </c>
      <c r="D15" s="12"/>
      <c r="E15" s="12" t="s">
        <v>233</v>
      </c>
      <c r="F15" s="7" t="str">
        <f t="shared" si="0"/>
        <v>F_14.png</v>
      </c>
      <c r="G15" s="12" t="s">
        <v>234</v>
      </c>
      <c r="H15" s="12" t="s">
        <v>182</v>
      </c>
      <c r="I15" s="11">
        <v>4</v>
      </c>
      <c r="J15" s="11">
        <v>23</v>
      </c>
    </row>
    <row r="16" spans="1:28" ht="21.75" customHeight="1" x14ac:dyDescent="0.5">
      <c r="A16" s="7" t="s">
        <v>235</v>
      </c>
      <c r="B16" s="7" t="s">
        <v>236</v>
      </c>
      <c r="C16" s="7" t="s">
        <v>237</v>
      </c>
      <c r="D16" s="7"/>
      <c r="E16" s="7" t="s">
        <v>238</v>
      </c>
      <c r="F16" s="7" t="str">
        <f t="shared" si="0"/>
        <v>F_15.png</v>
      </c>
      <c r="G16" s="7" t="s">
        <v>239</v>
      </c>
      <c r="H16" s="7" t="s">
        <v>188</v>
      </c>
      <c r="I16" s="6">
        <v>5</v>
      </c>
      <c r="J16" s="6">
        <v>23</v>
      </c>
    </row>
    <row r="17" spans="1:10" ht="22.5" customHeight="1" x14ac:dyDescent="0.5">
      <c r="A17" s="12" t="s">
        <v>240</v>
      </c>
      <c r="B17" s="12" t="s">
        <v>241</v>
      </c>
      <c r="C17" s="12" t="s">
        <v>242</v>
      </c>
      <c r="D17" s="12"/>
      <c r="E17" s="12" t="s">
        <v>243</v>
      </c>
      <c r="F17" s="7" t="str">
        <f t="shared" si="0"/>
        <v>F_16.png</v>
      </c>
      <c r="G17" s="12" t="s">
        <v>239</v>
      </c>
      <c r="H17" s="12" t="s">
        <v>188</v>
      </c>
      <c r="I17" s="11">
        <v>5</v>
      </c>
      <c r="J17" s="11">
        <v>24</v>
      </c>
    </row>
    <row r="18" spans="1:10" ht="22.5" customHeight="1" x14ac:dyDescent="0.5">
      <c r="A18" s="7" t="s">
        <v>244</v>
      </c>
      <c r="B18" s="7" t="s">
        <v>245</v>
      </c>
      <c r="C18" s="7" t="s">
        <v>246</v>
      </c>
      <c r="D18" s="7"/>
      <c r="E18" s="7" t="s">
        <v>247</v>
      </c>
      <c r="F18" s="7" t="str">
        <f t="shared" si="0"/>
        <v>F_17.png</v>
      </c>
      <c r="G18" s="7" t="s">
        <v>248</v>
      </c>
      <c r="H18" s="7" t="s">
        <v>182</v>
      </c>
      <c r="I18" s="6">
        <v>5</v>
      </c>
      <c r="J18" s="6">
        <v>23</v>
      </c>
    </row>
    <row r="19" spans="1:10" ht="22.5" customHeight="1" x14ac:dyDescent="0.5">
      <c r="A19" s="12" t="s">
        <v>249</v>
      </c>
      <c r="B19" s="12" t="s">
        <v>250</v>
      </c>
      <c r="C19" s="12" t="s">
        <v>251</v>
      </c>
      <c r="D19" s="12"/>
      <c r="E19" s="12" t="s">
        <v>252</v>
      </c>
      <c r="F19" s="7" t="str">
        <f t="shared" si="0"/>
        <v>F_18.png</v>
      </c>
      <c r="G19" s="12" t="s">
        <v>253</v>
      </c>
      <c r="H19" s="12" t="s">
        <v>182</v>
      </c>
      <c r="I19" s="11">
        <v>6</v>
      </c>
      <c r="J19" s="11">
        <v>22</v>
      </c>
    </row>
    <row r="20" spans="1:10" ht="22.5" customHeight="1" x14ac:dyDescent="0.5">
      <c r="A20" s="7" t="s">
        <v>254</v>
      </c>
      <c r="B20" s="7" t="s">
        <v>255</v>
      </c>
      <c r="C20" s="7" t="s">
        <v>256</v>
      </c>
      <c r="D20" s="7"/>
      <c r="E20" s="7" t="s">
        <v>257</v>
      </c>
      <c r="F20" s="7" t="str">
        <f t="shared" si="0"/>
        <v>F_19.png</v>
      </c>
      <c r="G20" s="7" t="s">
        <v>258</v>
      </c>
      <c r="H20" s="7" t="s">
        <v>188</v>
      </c>
      <c r="I20" s="6">
        <v>5</v>
      </c>
      <c r="J20" s="6">
        <v>24</v>
      </c>
    </row>
    <row r="21" spans="1:10" ht="22.5" customHeight="1" x14ac:dyDescent="0.5">
      <c r="A21" s="12" t="s">
        <v>259</v>
      </c>
      <c r="B21" s="12" t="s">
        <v>260</v>
      </c>
      <c r="C21" s="12" t="s">
        <v>261</v>
      </c>
      <c r="D21" s="12"/>
      <c r="E21" s="12" t="s">
        <v>262</v>
      </c>
      <c r="F21" s="7" t="str">
        <f t="shared" si="0"/>
        <v>F_20.png</v>
      </c>
      <c r="G21" s="12" t="s">
        <v>263</v>
      </c>
      <c r="H21" s="12" t="s">
        <v>182</v>
      </c>
      <c r="I21" s="11">
        <v>6</v>
      </c>
      <c r="J21" s="11">
        <v>23</v>
      </c>
    </row>
    <row r="22" spans="1:10" ht="22.5" customHeight="1" x14ac:dyDescent="0.5">
      <c r="A22" s="7" t="s">
        <v>264</v>
      </c>
      <c r="B22" s="7" t="s">
        <v>265</v>
      </c>
      <c r="C22" s="20" t="s">
        <v>795</v>
      </c>
      <c r="D22" s="7" t="s">
        <v>799</v>
      </c>
      <c r="E22" s="7" t="s">
        <v>266</v>
      </c>
      <c r="F22" s="7" t="str">
        <f t="shared" si="0"/>
        <v>F_21.png</v>
      </c>
      <c r="G22" s="7" t="s">
        <v>187</v>
      </c>
      <c r="H22" s="7" t="s">
        <v>182</v>
      </c>
      <c r="I22" s="6">
        <v>7</v>
      </c>
      <c r="J22" s="6">
        <v>24</v>
      </c>
    </row>
    <row r="23" spans="1:10" ht="22.5" customHeight="1" x14ac:dyDescent="0.5">
      <c r="A23" s="12" t="s">
        <v>267</v>
      </c>
      <c r="B23" s="12" t="s">
        <v>268</v>
      </c>
      <c r="C23" s="12" t="s">
        <v>269</v>
      </c>
      <c r="D23" s="12"/>
      <c r="E23" s="12" t="s">
        <v>270</v>
      </c>
      <c r="F23" s="7" t="str">
        <f t="shared" si="0"/>
        <v>F_22.png</v>
      </c>
      <c r="G23" s="12" t="s">
        <v>271</v>
      </c>
      <c r="H23" s="12" t="s">
        <v>188</v>
      </c>
      <c r="I23" s="11">
        <v>5</v>
      </c>
      <c r="J23" s="11">
        <v>23</v>
      </c>
    </row>
    <row r="24" spans="1:10" ht="22.5" customHeight="1" x14ac:dyDescent="0.5">
      <c r="A24" s="7" t="s">
        <v>109</v>
      </c>
      <c r="B24" s="7" t="s">
        <v>272</v>
      </c>
      <c r="C24" s="7" t="s">
        <v>273</v>
      </c>
      <c r="D24" s="7"/>
      <c r="E24" s="7" t="s">
        <v>274</v>
      </c>
      <c r="F24" s="7" t="str">
        <f t="shared" si="0"/>
        <v>F_23.png</v>
      </c>
      <c r="G24" s="7" t="s">
        <v>187</v>
      </c>
      <c r="H24" s="7" t="s">
        <v>188</v>
      </c>
      <c r="I24" s="6">
        <v>5</v>
      </c>
      <c r="J24" s="6">
        <v>24</v>
      </c>
    </row>
    <row r="25" spans="1:10" ht="22.5" customHeight="1" x14ac:dyDescent="0.5">
      <c r="A25" s="12" t="s">
        <v>275</v>
      </c>
      <c r="B25" s="12" t="s">
        <v>276</v>
      </c>
      <c r="C25" s="12" t="s">
        <v>277</v>
      </c>
      <c r="D25" s="12"/>
      <c r="E25" s="12" t="s">
        <v>278</v>
      </c>
      <c r="F25" s="7" t="str">
        <f t="shared" si="0"/>
        <v>F_24.png</v>
      </c>
      <c r="G25" s="12" t="s">
        <v>279</v>
      </c>
      <c r="H25" s="12" t="s">
        <v>188</v>
      </c>
      <c r="I25" s="11">
        <v>6</v>
      </c>
      <c r="J25" s="11">
        <v>22</v>
      </c>
    </row>
    <row r="26" spans="1:10" ht="22.5" customHeight="1" x14ac:dyDescent="0.5">
      <c r="A26" s="7" t="s">
        <v>112</v>
      </c>
      <c r="B26" s="7" t="s">
        <v>280</v>
      </c>
      <c r="C26" s="7" t="s">
        <v>281</v>
      </c>
      <c r="D26" s="7"/>
      <c r="E26" s="7" t="s">
        <v>282</v>
      </c>
      <c r="F26" s="7" t="str">
        <f t="shared" si="0"/>
        <v>F_25.png</v>
      </c>
      <c r="G26" s="7" t="s">
        <v>283</v>
      </c>
      <c r="H26" s="7" t="s">
        <v>188</v>
      </c>
      <c r="I26" s="6">
        <v>5</v>
      </c>
      <c r="J26" s="6">
        <v>25</v>
      </c>
    </row>
    <row r="27" spans="1:10" ht="22.5" customHeight="1" x14ac:dyDescent="0.5">
      <c r="A27" s="12" t="s">
        <v>115</v>
      </c>
      <c r="B27" s="12" t="s">
        <v>284</v>
      </c>
      <c r="C27" s="12" t="s">
        <v>285</v>
      </c>
      <c r="D27" s="12"/>
      <c r="E27" s="12" t="s">
        <v>286</v>
      </c>
      <c r="F27" s="7" t="str">
        <f t="shared" si="0"/>
        <v>F_26.png</v>
      </c>
      <c r="G27" s="12" t="s">
        <v>287</v>
      </c>
      <c r="H27" s="12" t="s">
        <v>188</v>
      </c>
      <c r="I27" s="11">
        <v>5</v>
      </c>
      <c r="J27" s="11">
        <v>22</v>
      </c>
    </row>
    <row r="28" spans="1:10" ht="22.5" customHeight="1" x14ac:dyDescent="0.5">
      <c r="A28" s="7" t="s">
        <v>288</v>
      </c>
      <c r="B28" s="7" t="s">
        <v>289</v>
      </c>
      <c r="C28" s="7" t="s">
        <v>290</v>
      </c>
      <c r="D28" s="7"/>
      <c r="E28" s="7" t="s">
        <v>291</v>
      </c>
      <c r="F28" s="7" t="str">
        <f t="shared" si="0"/>
        <v>F_27.png</v>
      </c>
      <c r="G28" s="7" t="s">
        <v>181</v>
      </c>
      <c r="H28" s="7" t="s">
        <v>182</v>
      </c>
      <c r="I28" s="6">
        <v>6</v>
      </c>
      <c r="J28" s="6">
        <v>24</v>
      </c>
    </row>
    <row r="29" spans="1:10" ht="22.5" customHeight="1" x14ac:dyDescent="0.5">
      <c r="A29" s="12" t="s">
        <v>118</v>
      </c>
      <c r="B29" s="12" t="s">
        <v>292</v>
      </c>
      <c r="C29" s="12" t="s">
        <v>293</v>
      </c>
      <c r="D29" s="12"/>
      <c r="E29" s="12" t="s">
        <v>294</v>
      </c>
      <c r="F29" s="7" t="str">
        <f t="shared" si="0"/>
        <v>F_28.png</v>
      </c>
      <c r="G29" s="12" t="s">
        <v>258</v>
      </c>
      <c r="H29" s="12" t="s">
        <v>188</v>
      </c>
      <c r="I29" s="11">
        <v>6</v>
      </c>
      <c r="J29" s="11">
        <v>22</v>
      </c>
    </row>
    <row r="30" spans="1:10" ht="22.5" customHeight="1" x14ac:dyDescent="0.5">
      <c r="A30" s="7" t="s">
        <v>121</v>
      </c>
      <c r="B30" s="7" t="s">
        <v>295</v>
      </c>
      <c r="C30" s="7" t="s">
        <v>296</v>
      </c>
      <c r="D30" s="7"/>
      <c r="E30" s="7" t="s">
        <v>297</v>
      </c>
      <c r="F30" s="7" t="str">
        <f t="shared" si="0"/>
        <v>F_29.png</v>
      </c>
      <c r="G30" s="7" t="s">
        <v>258</v>
      </c>
      <c r="H30" s="7" t="s">
        <v>188</v>
      </c>
      <c r="I30" s="6">
        <v>6</v>
      </c>
      <c r="J30" s="6">
        <v>23</v>
      </c>
    </row>
    <row r="31" spans="1:10" ht="22.5" customHeight="1" x14ac:dyDescent="0.5">
      <c r="A31" s="12" t="s">
        <v>298</v>
      </c>
      <c r="B31" s="12" t="s">
        <v>299</v>
      </c>
      <c r="C31" s="12" t="s">
        <v>300</v>
      </c>
      <c r="D31" s="12"/>
      <c r="E31" s="12" t="s">
        <v>301</v>
      </c>
      <c r="F31" s="7" t="str">
        <f t="shared" si="0"/>
        <v>F_30.png</v>
      </c>
      <c r="G31" s="12" t="s">
        <v>187</v>
      </c>
      <c r="H31" s="12" t="s">
        <v>188</v>
      </c>
      <c r="I31" s="11">
        <v>6</v>
      </c>
      <c r="J31" s="11">
        <v>23</v>
      </c>
    </row>
    <row r="32" spans="1:10" ht="22.5" customHeight="1" x14ac:dyDescent="0.5">
      <c r="A32" s="7" t="s">
        <v>302</v>
      </c>
      <c r="B32" s="7" t="s">
        <v>303</v>
      </c>
      <c r="C32" s="7" t="s">
        <v>304</v>
      </c>
      <c r="D32" s="7"/>
      <c r="E32" s="7" t="s">
        <v>305</v>
      </c>
      <c r="F32" s="7" t="str">
        <f t="shared" si="0"/>
        <v>F_31.png</v>
      </c>
      <c r="G32" s="7" t="s">
        <v>306</v>
      </c>
      <c r="H32" s="7" t="s">
        <v>188</v>
      </c>
      <c r="I32" s="6">
        <v>6</v>
      </c>
      <c r="J32" s="6">
        <v>25</v>
      </c>
    </row>
    <row r="33" spans="1:10" ht="22.5" customHeight="1" x14ac:dyDescent="0.5">
      <c r="A33" s="12" t="s">
        <v>307</v>
      </c>
      <c r="B33" s="12" t="s">
        <v>308</v>
      </c>
      <c r="C33" s="12" t="s">
        <v>309</v>
      </c>
      <c r="D33" s="12"/>
      <c r="E33" s="12" t="s">
        <v>310</v>
      </c>
      <c r="F33" s="7" t="str">
        <f t="shared" si="0"/>
        <v>F_32.png</v>
      </c>
      <c r="G33" s="12" t="s">
        <v>287</v>
      </c>
      <c r="H33" s="12" t="s">
        <v>182</v>
      </c>
      <c r="I33" s="11">
        <v>5</v>
      </c>
      <c r="J33" s="11">
        <v>24</v>
      </c>
    </row>
    <row r="34" spans="1:10" ht="22.5" customHeight="1" x14ac:dyDescent="0.5">
      <c r="A34" s="7" t="s">
        <v>311</v>
      </c>
      <c r="B34" s="7" t="s">
        <v>312</v>
      </c>
      <c r="C34" s="7" t="s">
        <v>313</v>
      </c>
      <c r="D34" s="7"/>
      <c r="E34" s="7" t="s">
        <v>314</v>
      </c>
      <c r="F34" s="7" t="str">
        <f t="shared" ref="F34:F65" si="1">A34&amp;".png"</f>
        <v>F_33.png</v>
      </c>
      <c r="G34" s="7" t="s">
        <v>187</v>
      </c>
      <c r="H34" s="7" t="s">
        <v>188</v>
      </c>
      <c r="I34" s="6">
        <v>5</v>
      </c>
      <c r="J34" s="6">
        <v>22</v>
      </c>
    </row>
    <row r="35" spans="1:10" ht="22.5" customHeight="1" x14ac:dyDescent="0.5">
      <c r="A35" s="12" t="s">
        <v>315</v>
      </c>
      <c r="B35" s="12" t="s">
        <v>316</v>
      </c>
      <c r="C35" s="12" t="s">
        <v>317</v>
      </c>
      <c r="D35" s="12"/>
      <c r="E35" s="12" t="s">
        <v>318</v>
      </c>
      <c r="F35" s="7" t="str">
        <f t="shared" si="1"/>
        <v>F_34.png</v>
      </c>
      <c r="G35" s="12" t="s">
        <v>258</v>
      </c>
      <c r="H35" s="12" t="s">
        <v>188</v>
      </c>
      <c r="I35" s="11">
        <v>5</v>
      </c>
      <c r="J35" s="11">
        <v>22</v>
      </c>
    </row>
    <row r="36" spans="1:10" ht="22.5" customHeight="1" x14ac:dyDescent="0.5">
      <c r="A36" s="7" t="s">
        <v>319</v>
      </c>
      <c r="B36" s="7" t="s">
        <v>320</v>
      </c>
      <c r="C36" s="7" t="s">
        <v>321</v>
      </c>
      <c r="D36" s="7"/>
      <c r="E36" s="7" t="s">
        <v>322</v>
      </c>
      <c r="F36" s="7" t="str">
        <f t="shared" si="1"/>
        <v>F_35.png</v>
      </c>
      <c r="G36" s="7" t="s">
        <v>258</v>
      </c>
      <c r="H36" s="7" t="s">
        <v>188</v>
      </c>
      <c r="I36" s="6">
        <v>5</v>
      </c>
      <c r="J36" s="6">
        <v>22</v>
      </c>
    </row>
    <row r="37" spans="1:10" ht="22.5" customHeight="1" x14ac:dyDescent="0.5">
      <c r="A37" s="12" t="s">
        <v>323</v>
      </c>
      <c r="B37" s="12" t="s">
        <v>324</v>
      </c>
      <c r="C37" s="12" t="s">
        <v>325</v>
      </c>
      <c r="D37" s="12"/>
      <c r="E37" s="12" t="s">
        <v>326</v>
      </c>
      <c r="F37" s="7" t="str">
        <f t="shared" si="1"/>
        <v>F_36.png</v>
      </c>
      <c r="G37" s="12" t="s">
        <v>327</v>
      </c>
      <c r="H37" s="12" t="s">
        <v>182</v>
      </c>
      <c r="I37" s="11">
        <v>4</v>
      </c>
      <c r="J37" s="11">
        <v>22</v>
      </c>
    </row>
    <row r="38" spans="1:10" ht="22.5" customHeight="1" x14ac:dyDescent="0.5">
      <c r="A38" s="7" t="s">
        <v>328</v>
      </c>
      <c r="B38" s="7" t="s">
        <v>329</v>
      </c>
      <c r="C38" s="7" t="s">
        <v>330</v>
      </c>
      <c r="D38" s="7"/>
      <c r="E38" s="7" t="s">
        <v>331</v>
      </c>
      <c r="F38" s="7" t="str">
        <f t="shared" si="1"/>
        <v>F_37.png</v>
      </c>
      <c r="G38" s="7" t="s">
        <v>187</v>
      </c>
      <c r="H38" s="7" t="s">
        <v>188</v>
      </c>
      <c r="I38" s="6">
        <v>5</v>
      </c>
      <c r="J38" s="6">
        <v>23</v>
      </c>
    </row>
    <row r="39" spans="1:10" ht="22.5" customHeight="1" x14ac:dyDescent="0.5">
      <c r="A39" s="12" t="s">
        <v>332</v>
      </c>
      <c r="B39" s="12" t="s">
        <v>333</v>
      </c>
      <c r="C39" s="12" t="s">
        <v>334</v>
      </c>
      <c r="D39" s="12"/>
      <c r="E39" s="12" t="s">
        <v>335</v>
      </c>
      <c r="F39" s="7" t="str">
        <f t="shared" si="1"/>
        <v>F_38.png</v>
      </c>
      <c r="G39" s="12" t="s">
        <v>327</v>
      </c>
      <c r="H39" s="12" t="s">
        <v>188</v>
      </c>
      <c r="I39" s="11">
        <v>5</v>
      </c>
      <c r="J39" s="11">
        <v>24</v>
      </c>
    </row>
    <row r="40" spans="1:10" ht="22.5" customHeight="1" x14ac:dyDescent="0.5">
      <c r="A40" s="7" t="s">
        <v>336</v>
      </c>
      <c r="B40" s="7" t="s">
        <v>337</v>
      </c>
      <c r="C40" s="7" t="s">
        <v>338</v>
      </c>
      <c r="D40" s="7"/>
      <c r="E40" s="7" t="s">
        <v>339</v>
      </c>
      <c r="F40" s="7" t="str">
        <f t="shared" si="1"/>
        <v>F_39.png</v>
      </c>
      <c r="G40" s="7" t="s">
        <v>181</v>
      </c>
      <c r="H40" s="7" t="s">
        <v>188</v>
      </c>
      <c r="I40" s="6">
        <v>6</v>
      </c>
      <c r="J40" s="6">
        <v>23</v>
      </c>
    </row>
    <row r="41" spans="1:10" ht="22.5" customHeight="1" x14ac:dyDescent="0.5">
      <c r="A41" s="12" t="s">
        <v>130</v>
      </c>
      <c r="B41" s="12" t="s">
        <v>340</v>
      </c>
      <c r="C41" s="12" t="s">
        <v>341</v>
      </c>
      <c r="D41" s="12"/>
      <c r="E41" s="12" t="s">
        <v>342</v>
      </c>
      <c r="F41" s="7" t="str">
        <f t="shared" si="1"/>
        <v>F_40.png</v>
      </c>
      <c r="G41" s="12" t="s">
        <v>343</v>
      </c>
      <c r="H41" s="12" t="s">
        <v>188</v>
      </c>
      <c r="I41" s="11">
        <v>6</v>
      </c>
      <c r="J41" s="11">
        <v>25</v>
      </c>
    </row>
    <row r="42" spans="1:10" ht="22.5" customHeight="1" x14ac:dyDescent="0.5">
      <c r="A42" s="7" t="s">
        <v>133</v>
      </c>
      <c r="B42" s="7" t="s">
        <v>344</v>
      </c>
      <c r="C42" s="7" t="s">
        <v>345</v>
      </c>
      <c r="D42" s="7"/>
      <c r="E42" s="7" t="s">
        <v>346</v>
      </c>
      <c r="F42" s="7" t="str">
        <f t="shared" si="1"/>
        <v>F_41.png</v>
      </c>
      <c r="G42" s="7" t="s">
        <v>239</v>
      </c>
      <c r="H42" s="7" t="s">
        <v>188</v>
      </c>
      <c r="I42" s="6">
        <v>6</v>
      </c>
      <c r="J42" s="6">
        <v>25</v>
      </c>
    </row>
    <row r="43" spans="1:10" ht="22.5" customHeight="1" x14ac:dyDescent="0.5">
      <c r="A43" s="12" t="s">
        <v>347</v>
      </c>
      <c r="B43" s="12" t="s">
        <v>348</v>
      </c>
      <c r="C43" s="12" t="s">
        <v>349</v>
      </c>
      <c r="D43" s="12"/>
      <c r="E43" s="12" t="s">
        <v>350</v>
      </c>
      <c r="F43" s="7" t="str">
        <f t="shared" si="1"/>
        <v>F_42.png</v>
      </c>
      <c r="G43" s="12" t="s">
        <v>258</v>
      </c>
      <c r="H43" s="12" t="s">
        <v>188</v>
      </c>
      <c r="I43" s="11">
        <v>6</v>
      </c>
      <c r="J43" s="11">
        <v>22</v>
      </c>
    </row>
    <row r="44" spans="1:10" ht="22.5" customHeight="1" x14ac:dyDescent="0.5">
      <c r="A44" s="7" t="s">
        <v>351</v>
      </c>
      <c r="B44" s="7" t="s">
        <v>352</v>
      </c>
      <c r="C44" s="7" t="s">
        <v>353</v>
      </c>
      <c r="D44" s="7"/>
      <c r="E44" s="7" t="s">
        <v>354</v>
      </c>
      <c r="F44" s="7" t="str">
        <f t="shared" si="1"/>
        <v>F_43.png</v>
      </c>
      <c r="G44" s="7" t="s">
        <v>181</v>
      </c>
      <c r="H44" s="7" t="s">
        <v>188</v>
      </c>
      <c r="I44" s="6">
        <v>5</v>
      </c>
      <c r="J44" s="6">
        <v>23</v>
      </c>
    </row>
    <row r="45" spans="1:10" ht="22.5" customHeight="1" x14ac:dyDescent="0.5">
      <c r="A45" s="12" t="s">
        <v>355</v>
      </c>
      <c r="B45" s="12" t="s">
        <v>356</v>
      </c>
      <c r="C45" s="12" t="s">
        <v>357</v>
      </c>
      <c r="D45" s="12"/>
      <c r="E45" s="12" t="s">
        <v>358</v>
      </c>
      <c r="F45" s="7" t="str">
        <f t="shared" si="1"/>
        <v>F_44.png</v>
      </c>
      <c r="G45" s="12" t="s">
        <v>359</v>
      </c>
      <c r="H45" s="12" t="s">
        <v>188</v>
      </c>
      <c r="I45" s="11">
        <v>6</v>
      </c>
      <c r="J45" s="11">
        <v>22</v>
      </c>
    </row>
    <row r="46" spans="1:10" ht="22.5" customHeight="1" x14ac:dyDescent="0.5">
      <c r="A46" s="7" t="s">
        <v>360</v>
      </c>
      <c r="B46" s="7" t="s">
        <v>361</v>
      </c>
      <c r="C46" s="7" t="s">
        <v>362</v>
      </c>
      <c r="D46" s="7"/>
      <c r="E46" s="7" t="s">
        <v>363</v>
      </c>
      <c r="F46" s="7" t="str">
        <f t="shared" si="1"/>
        <v>F_45.png</v>
      </c>
      <c r="G46" s="7" t="s">
        <v>187</v>
      </c>
      <c r="H46" s="7" t="s">
        <v>188</v>
      </c>
      <c r="I46" s="6">
        <v>5</v>
      </c>
      <c r="J46" s="6">
        <v>22</v>
      </c>
    </row>
    <row r="47" spans="1:10" ht="22.5" customHeight="1" x14ac:dyDescent="0.5">
      <c r="A47" s="12" t="s">
        <v>136</v>
      </c>
      <c r="B47" s="12" t="s">
        <v>364</v>
      </c>
      <c r="C47" s="12" t="s">
        <v>365</v>
      </c>
      <c r="D47" s="12"/>
      <c r="E47" s="12" t="s">
        <v>366</v>
      </c>
      <c r="F47" s="7" t="str">
        <f t="shared" si="1"/>
        <v>F_46.png</v>
      </c>
      <c r="G47" s="12" t="s">
        <v>239</v>
      </c>
      <c r="H47" s="12" t="s">
        <v>188</v>
      </c>
      <c r="I47" s="11">
        <v>5</v>
      </c>
      <c r="J47" s="11">
        <v>25</v>
      </c>
    </row>
    <row r="48" spans="1:10" ht="22.5" customHeight="1" x14ac:dyDescent="0.5">
      <c r="A48" s="7" t="s">
        <v>367</v>
      </c>
      <c r="B48" s="7" t="s">
        <v>368</v>
      </c>
      <c r="C48" s="7" t="s">
        <v>369</v>
      </c>
      <c r="D48" s="7"/>
      <c r="E48" s="7" t="s">
        <v>370</v>
      </c>
      <c r="F48" s="7" t="str">
        <f t="shared" si="1"/>
        <v>F_47.png</v>
      </c>
      <c r="G48" s="7" t="s">
        <v>371</v>
      </c>
      <c r="H48" s="7" t="s">
        <v>188</v>
      </c>
      <c r="I48" s="6">
        <v>4</v>
      </c>
      <c r="J48" s="6">
        <v>23</v>
      </c>
    </row>
    <row r="49" spans="1:10" ht="22.5" customHeight="1" x14ac:dyDescent="0.5">
      <c r="A49" s="12" t="s">
        <v>372</v>
      </c>
      <c r="B49" s="12" t="s">
        <v>373</v>
      </c>
      <c r="C49" s="12" t="s">
        <v>374</v>
      </c>
      <c r="D49" s="12"/>
      <c r="E49" s="12" t="s">
        <v>375</v>
      </c>
      <c r="F49" s="7" t="str">
        <f t="shared" si="1"/>
        <v>F_48.png</v>
      </c>
      <c r="G49" s="12" t="s">
        <v>258</v>
      </c>
      <c r="H49" s="12" t="s">
        <v>188</v>
      </c>
      <c r="I49" s="11">
        <v>6</v>
      </c>
      <c r="J49" s="11">
        <v>25</v>
      </c>
    </row>
    <row r="50" spans="1:10" ht="22.5" customHeight="1" x14ac:dyDescent="0.5">
      <c r="A50" s="7" t="s">
        <v>376</v>
      </c>
      <c r="B50" s="7" t="s">
        <v>377</v>
      </c>
      <c r="C50" s="7" t="s">
        <v>378</v>
      </c>
      <c r="D50" s="7"/>
      <c r="E50" s="7" t="s">
        <v>379</v>
      </c>
      <c r="F50" s="7" t="str">
        <f t="shared" si="1"/>
        <v>F_49.png</v>
      </c>
      <c r="G50" s="7" t="s">
        <v>380</v>
      </c>
      <c r="H50" s="7" t="s">
        <v>182</v>
      </c>
      <c r="I50" s="6">
        <v>6</v>
      </c>
      <c r="J50" s="6">
        <v>24</v>
      </c>
    </row>
    <row r="51" spans="1:10" ht="22.5" customHeight="1" x14ac:dyDescent="0.5">
      <c r="A51" s="12" t="s">
        <v>381</v>
      </c>
      <c r="B51" s="12" t="s">
        <v>382</v>
      </c>
      <c r="C51" s="12" t="s">
        <v>383</v>
      </c>
      <c r="D51" s="12"/>
      <c r="E51" s="12" t="s">
        <v>384</v>
      </c>
      <c r="F51" s="7" t="str">
        <f t="shared" si="1"/>
        <v>F_50.png</v>
      </c>
      <c r="G51" s="12" t="s">
        <v>239</v>
      </c>
      <c r="H51" s="12" t="s">
        <v>188</v>
      </c>
      <c r="I51" s="11">
        <v>6</v>
      </c>
      <c r="J51" s="11">
        <v>23</v>
      </c>
    </row>
    <row r="52" spans="1:10" ht="22.5" customHeight="1" x14ac:dyDescent="0.5">
      <c r="A52" s="7" t="s">
        <v>385</v>
      </c>
      <c r="B52" s="7" t="s">
        <v>386</v>
      </c>
      <c r="C52" s="7" t="s">
        <v>387</v>
      </c>
      <c r="D52" s="7"/>
      <c r="E52" s="7" t="s">
        <v>388</v>
      </c>
      <c r="F52" s="7" t="str">
        <f t="shared" si="1"/>
        <v>F_51.png</v>
      </c>
      <c r="G52" s="7" t="s">
        <v>187</v>
      </c>
      <c r="H52" s="7" t="s">
        <v>188</v>
      </c>
      <c r="I52" s="6">
        <v>6</v>
      </c>
      <c r="J52" s="6">
        <v>22</v>
      </c>
    </row>
    <row r="53" spans="1:10" ht="22.5" customHeight="1" x14ac:dyDescent="0.5">
      <c r="A53" s="12" t="s">
        <v>389</v>
      </c>
      <c r="B53" s="12" t="s">
        <v>390</v>
      </c>
      <c r="C53" s="12" t="s">
        <v>391</v>
      </c>
      <c r="D53" s="12"/>
      <c r="E53" s="12" t="s">
        <v>392</v>
      </c>
      <c r="F53" s="7" t="str">
        <f t="shared" si="1"/>
        <v>F_52.png</v>
      </c>
      <c r="G53" s="12" t="s">
        <v>393</v>
      </c>
      <c r="H53" s="12" t="s">
        <v>188</v>
      </c>
      <c r="I53" s="11">
        <v>5</v>
      </c>
      <c r="J53" s="11">
        <v>22</v>
      </c>
    </row>
    <row r="54" spans="1:10" ht="22.5" customHeight="1" x14ac:dyDescent="0.5">
      <c r="A54" s="7" t="s">
        <v>394</v>
      </c>
      <c r="B54" s="7" t="s">
        <v>395</v>
      </c>
      <c r="C54" s="7" t="s">
        <v>396</v>
      </c>
      <c r="D54" s="7"/>
      <c r="E54" s="7" t="s">
        <v>397</v>
      </c>
      <c r="F54" s="7" t="str">
        <f t="shared" si="1"/>
        <v>F_53.png</v>
      </c>
      <c r="G54" s="7" t="s">
        <v>239</v>
      </c>
      <c r="H54" s="7" t="s">
        <v>188</v>
      </c>
      <c r="I54" s="6">
        <v>5</v>
      </c>
      <c r="J54" s="6">
        <v>23</v>
      </c>
    </row>
    <row r="55" spans="1:10" ht="22.5" customHeight="1" x14ac:dyDescent="0.5">
      <c r="A55" s="12" t="s">
        <v>398</v>
      </c>
      <c r="B55" s="12" t="s">
        <v>399</v>
      </c>
      <c r="C55" s="12" t="s">
        <v>400</v>
      </c>
      <c r="D55" s="12"/>
      <c r="E55" s="12" t="s">
        <v>401</v>
      </c>
      <c r="F55" s="7" t="str">
        <f t="shared" si="1"/>
        <v>F_54.png</v>
      </c>
      <c r="G55" s="12" t="s">
        <v>402</v>
      </c>
      <c r="H55" s="12" t="s">
        <v>182</v>
      </c>
      <c r="I55" s="11">
        <v>6</v>
      </c>
      <c r="J55" s="11">
        <v>25</v>
      </c>
    </row>
    <row r="56" spans="1:10" ht="22.5" customHeight="1" x14ac:dyDescent="0.5">
      <c r="A56" s="7" t="s">
        <v>403</v>
      </c>
      <c r="B56" s="7" t="s">
        <v>404</v>
      </c>
      <c r="C56" s="7" t="s">
        <v>405</v>
      </c>
      <c r="D56" s="7"/>
      <c r="E56" s="7" t="s">
        <v>406</v>
      </c>
      <c r="F56" s="7" t="str">
        <f t="shared" si="1"/>
        <v>F_55.png</v>
      </c>
      <c r="G56" s="7" t="s">
        <v>225</v>
      </c>
      <c r="H56" s="7" t="s">
        <v>188</v>
      </c>
      <c r="I56" s="6">
        <v>5</v>
      </c>
      <c r="J56" s="6">
        <v>22</v>
      </c>
    </row>
    <row r="57" spans="1:10" ht="22.5" customHeight="1" x14ac:dyDescent="0.5">
      <c r="A57" s="12" t="s">
        <v>407</v>
      </c>
      <c r="B57" s="12" t="s">
        <v>408</v>
      </c>
      <c r="C57" s="12" t="s">
        <v>409</v>
      </c>
      <c r="D57" s="12"/>
      <c r="E57" s="12" t="s">
        <v>410</v>
      </c>
      <c r="F57" s="7" t="str">
        <f t="shared" si="1"/>
        <v>F_56.png</v>
      </c>
      <c r="G57" s="12" t="s">
        <v>287</v>
      </c>
      <c r="H57" s="12" t="s">
        <v>188</v>
      </c>
      <c r="I57" s="11">
        <v>5</v>
      </c>
      <c r="J57" s="11">
        <v>22</v>
      </c>
    </row>
    <row r="58" spans="1:10" ht="22.5" customHeight="1" x14ac:dyDescent="0.5">
      <c r="A58" s="7" t="s">
        <v>411</v>
      </c>
      <c r="B58" s="7" t="s">
        <v>412</v>
      </c>
      <c r="C58" s="7" t="s">
        <v>413</v>
      </c>
      <c r="D58" s="7"/>
      <c r="E58" s="7" t="s">
        <v>414</v>
      </c>
      <c r="F58" s="7" t="str">
        <f t="shared" si="1"/>
        <v>F_57.png</v>
      </c>
      <c r="G58" s="7" t="s">
        <v>187</v>
      </c>
      <c r="H58" s="7" t="s">
        <v>188</v>
      </c>
      <c r="I58" s="6">
        <v>6</v>
      </c>
      <c r="J58" s="6">
        <v>24</v>
      </c>
    </row>
    <row r="59" spans="1:10" ht="22.5" customHeight="1" x14ac:dyDescent="0.5">
      <c r="A59" s="12" t="s">
        <v>415</v>
      </c>
      <c r="B59" s="12" t="s">
        <v>416</v>
      </c>
      <c r="C59" s="12" t="s">
        <v>417</v>
      </c>
      <c r="D59" s="12"/>
      <c r="E59" s="12" t="s">
        <v>418</v>
      </c>
      <c r="F59" s="7" t="str">
        <f t="shared" si="1"/>
        <v>F_58.png</v>
      </c>
      <c r="G59" s="12" t="s">
        <v>327</v>
      </c>
      <c r="H59" s="12" t="s">
        <v>188</v>
      </c>
      <c r="I59" s="11">
        <v>6</v>
      </c>
      <c r="J59" s="11">
        <v>25</v>
      </c>
    </row>
    <row r="60" spans="1:10" ht="22.5" customHeight="1" x14ac:dyDescent="0.5">
      <c r="A60" s="7" t="s">
        <v>419</v>
      </c>
      <c r="B60" s="7" t="s">
        <v>420</v>
      </c>
      <c r="C60" s="7" t="s">
        <v>421</v>
      </c>
      <c r="D60" s="7"/>
      <c r="E60" s="7" t="s">
        <v>422</v>
      </c>
      <c r="F60" s="7" t="str">
        <f t="shared" si="1"/>
        <v>F_59.png</v>
      </c>
      <c r="G60" s="7" t="s">
        <v>423</v>
      </c>
      <c r="H60" s="7" t="s">
        <v>182</v>
      </c>
      <c r="I60" s="6">
        <v>5</v>
      </c>
      <c r="J60" s="6">
        <v>24</v>
      </c>
    </row>
    <row r="61" spans="1:10" ht="22.5" customHeight="1" x14ac:dyDescent="0.5">
      <c r="A61" s="12" t="s">
        <v>139</v>
      </c>
      <c r="B61" s="12" t="s">
        <v>424</v>
      </c>
      <c r="C61" s="12" t="s">
        <v>425</v>
      </c>
      <c r="D61" s="12"/>
      <c r="E61" s="12" t="s">
        <v>426</v>
      </c>
      <c r="F61" s="7" t="str">
        <f t="shared" si="1"/>
        <v>F_60.png</v>
      </c>
      <c r="G61" s="12" t="s">
        <v>427</v>
      </c>
      <c r="H61" s="12" t="s">
        <v>188</v>
      </c>
      <c r="I61" s="11">
        <v>7</v>
      </c>
      <c r="J61" s="11">
        <v>24</v>
      </c>
    </row>
    <row r="62" spans="1:10" ht="22.5" customHeight="1" x14ac:dyDescent="0.5">
      <c r="A62" s="7" t="s">
        <v>142</v>
      </c>
      <c r="B62" s="7" t="s">
        <v>428</v>
      </c>
      <c r="C62" s="7" t="s">
        <v>429</v>
      </c>
      <c r="D62" s="7"/>
      <c r="E62" s="7" t="s">
        <v>430</v>
      </c>
      <c r="F62" s="7" t="str">
        <f t="shared" si="1"/>
        <v>F_61.png</v>
      </c>
      <c r="G62" s="7" t="s">
        <v>181</v>
      </c>
      <c r="H62" s="7" t="s">
        <v>188</v>
      </c>
      <c r="I62" s="6">
        <v>7</v>
      </c>
      <c r="J62" s="6">
        <v>25</v>
      </c>
    </row>
    <row r="63" spans="1:10" ht="22.5" customHeight="1" x14ac:dyDescent="0.5">
      <c r="A63" s="12" t="s">
        <v>145</v>
      </c>
      <c r="B63" s="12" t="s">
        <v>431</v>
      </c>
      <c r="C63" s="12" t="s">
        <v>432</v>
      </c>
      <c r="D63" s="12"/>
      <c r="E63" s="12" t="s">
        <v>433</v>
      </c>
      <c r="F63" s="7" t="str">
        <f t="shared" si="1"/>
        <v>F_62.png</v>
      </c>
      <c r="G63" s="12" t="s">
        <v>225</v>
      </c>
      <c r="H63" s="12" t="s">
        <v>188</v>
      </c>
      <c r="I63" s="11">
        <v>5</v>
      </c>
      <c r="J63" s="11">
        <v>24</v>
      </c>
    </row>
    <row r="64" spans="1:10" ht="22.5" customHeight="1" x14ac:dyDescent="0.5">
      <c r="A64" s="7" t="s">
        <v>434</v>
      </c>
      <c r="B64" s="7" t="s">
        <v>435</v>
      </c>
      <c r="C64" s="7" t="s">
        <v>436</v>
      </c>
      <c r="D64" s="7"/>
      <c r="E64" s="7" t="s">
        <v>437</v>
      </c>
      <c r="F64" s="7" t="str">
        <f t="shared" si="1"/>
        <v>F_63.png</v>
      </c>
      <c r="G64" s="7" t="s">
        <v>438</v>
      </c>
      <c r="H64" s="7" t="s">
        <v>182</v>
      </c>
      <c r="I64" s="6">
        <v>5</v>
      </c>
      <c r="J64" s="6">
        <v>22</v>
      </c>
    </row>
    <row r="65" spans="1:10" ht="22.5" customHeight="1" x14ac:dyDescent="0.5">
      <c r="A65" s="12" t="s">
        <v>439</v>
      </c>
      <c r="B65" s="12" t="s">
        <v>440</v>
      </c>
      <c r="C65" s="12" t="s">
        <v>441</v>
      </c>
      <c r="D65" s="12"/>
      <c r="E65" s="12" t="s">
        <v>442</v>
      </c>
      <c r="F65" s="7" t="str">
        <f t="shared" si="1"/>
        <v>F_64.png</v>
      </c>
      <c r="G65" s="12" t="s">
        <v>187</v>
      </c>
      <c r="H65" s="12" t="s">
        <v>188</v>
      </c>
      <c r="I65" s="11">
        <v>6</v>
      </c>
      <c r="J65" s="11">
        <v>24</v>
      </c>
    </row>
    <row r="66" spans="1:10" ht="22.5" customHeight="1" x14ac:dyDescent="0.5">
      <c r="A66" s="7" t="s">
        <v>443</v>
      </c>
      <c r="B66" s="7" t="s">
        <v>444</v>
      </c>
      <c r="C66" s="7" t="s">
        <v>445</v>
      </c>
      <c r="D66" s="7"/>
      <c r="E66" s="7" t="s">
        <v>446</v>
      </c>
      <c r="F66" s="7" t="str">
        <f t="shared" ref="F66:F97" si="2">A66&amp;".png"</f>
        <v>F_65.png</v>
      </c>
      <c r="G66" s="7" t="s">
        <v>447</v>
      </c>
      <c r="H66" s="7" t="s">
        <v>188</v>
      </c>
      <c r="I66" s="6">
        <v>5</v>
      </c>
      <c r="J66" s="6">
        <v>23</v>
      </c>
    </row>
    <row r="67" spans="1:10" ht="22.5" customHeight="1" x14ac:dyDescent="0.5">
      <c r="A67" s="12" t="s">
        <v>148</v>
      </c>
      <c r="B67" s="12" t="s">
        <v>448</v>
      </c>
      <c r="C67" s="12" t="s">
        <v>449</v>
      </c>
      <c r="D67" s="12"/>
      <c r="E67" s="12" t="s">
        <v>450</v>
      </c>
      <c r="F67" s="7" t="str">
        <f t="shared" si="2"/>
        <v>F_66.png</v>
      </c>
      <c r="G67" s="12" t="s">
        <v>451</v>
      </c>
      <c r="H67" s="12" t="s">
        <v>188</v>
      </c>
      <c r="I67" s="11">
        <v>6</v>
      </c>
      <c r="J67" s="11">
        <v>25</v>
      </c>
    </row>
    <row r="68" spans="1:10" ht="22.5" customHeight="1" x14ac:dyDescent="0.5">
      <c r="A68" s="7" t="s">
        <v>452</v>
      </c>
      <c r="B68" s="7" t="s">
        <v>453</v>
      </c>
      <c r="C68" s="7" t="s">
        <v>454</v>
      </c>
      <c r="D68" s="7"/>
      <c r="E68" s="7" t="s">
        <v>455</v>
      </c>
      <c r="F68" s="7" t="str">
        <f t="shared" si="2"/>
        <v>F_67.png</v>
      </c>
      <c r="G68" s="7" t="s">
        <v>456</v>
      </c>
      <c r="H68" s="7" t="s">
        <v>188</v>
      </c>
      <c r="I68" s="6">
        <v>5</v>
      </c>
      <c r="J68" s="6">
        <v>24</v>
      </c>
    </row>
    <row r="69" spans="1:10" ht="22.5" customHeight="1" x14ac:dyDescent="0.5">
      <c r="A69" s="12" t="s">
        <v>457</v>
      </c>
      <c r="B69" s="12" t="s">
        <v>458</v>
      </c>
      <c r="C69" s="12" t="s">
        <v>459</v>
      </c>
      <c r="D69" s="12"/>
      <c r="E69" s="12" t="s">
        <v>460</v>
      </c>
      <c r="F69" s="7" t="str">
        <f t="shared" si="2"/>
        <v>F_68.png</v>
      </c>
      <c r="G69" s="12" t="s">
        <v>239</v>
      </c>
      <c r="H69" s="12" t="s">
        <v>182</v>
      </c>
      <c r="I69" s="11">
        <v>5</v>
      </c>
      <c r="J69" s="11">
        <v>22</v>
      </c>
    </row>
    <row r="70" spans="1:10" ht="22.5" customHeight="1" x14ac:dyDescent="0.5">
      <c r="A70" s="7" t="s">
        <v>151</v>
      </c>
      <c r="B70" s="7" t="s">
        <v>461</v>
      </c>
      <c r="C70" s="7" t="s">
        <v>462</v>
      </c>
      <c r="D70" s="7"/>
      <c r="E70" s="7" t="s">
        <v>463</v>
      </c>
      <c r="F70" s="7" t="str">
        <f t="shared" si="2"/>
        <v>F_69.png</v>
      </c>
      <c r="G70" s="7" t="s">
        <v>464</v>
      </c>
      <c r="H70" s="7" t="s">
        <v>188</v>
      </c>
      <c r="I70" s="6">
        <v>6</v>
      </c>
      <c r="J70" s="6">
        <v>24</v>
      </c>
    </row>
    <row r="71" spans="1:10" ht="22.5" customHeight="1" x14ac:dyDescent="0.5">
      <c r="A71" s="12" t="s">
        <v>465</v>
      </c>
      <c r="B71" s="12" t="s">
        <v>466</v>
      </c>
      <c r="C71" s="12" t="s">
        <v>467</v>
      </c>
      <c r="D71" s="12"/>
      <c r="E71" s="12" t="s">
        <v>468</v>
      </c>
      <c r="F71" s="7" t="str">
        <f t="shared" si="2"/>
        <v>F_70.png</v>
      </c>
      <c r="G71" s="12" t="s">
        <v>469</v>
      </c>
      <c r="H71" s="12" t="s">
        <v>182</v>
      </c>
      <c r="I71" s="11">
        <v>5</v>
      </c>
      <c r="J71" s="11">
        <v>24</v>
      </c>
    </row>
    <row r="72" spans="1:10" ht="22.5" customHeight="1" x14ac:dyDescent="0.5">
      <c r="A72" s="7" t="s">
        <v>470</v>
      </c>
      <c r="B72" s="7" t="s">
        <v>471</v>
      </c>
      <c r="C72" s="7" t="s">
        <v>472</v>
      </c>
      <c r="D72" s="7"/>
      <c r="E72" s="7" t="s">
        <v>473</v>
      </c>
      <c r="F72" s="7" t="str">
        <f t="shared" si="2"/>
        <v>F_71.png</v>
      </c>
      <c r="G72" s="7" t="s">
        <v>327</v>
      </c>
      <c r="H72" s="7" t="s">
        <v>182</v>
      </c>
      <c r="I72" s="6">
        <v>5</v>
      </c>
      <c r="J72" s="6">
        <v>25</v>
      </c>
    </row>
    <row r="73" spans="1:10" ht="22.5" customHeight="1" x14ac:dyDescent="0.5">
      <c r="A73" s="12" t="s">
        <v>474</v>
      </c>
      <c r="B73" s="12" t="s">
        <v>475</v>
      </c>
      <c r="C73" s="12" t="s">
        <v>476</v>
      </c>
      <c r="D73" s="12"/>
      <c r="E73" s="12" t="s">
        <v>477</v>
      </c>
      <c r="F73" s="7" t="str">
        <f t="shared" si="2"/>
        <v>F_72.png</v>
      </c>
      <c r="G73" s="12" t="s">
        <v>478</v>
      </c>
      <c r="H73" s="12" t="s">
        <v>188</v>
      </c>
      <c r="I73" s="11">
        <v>6</v>
      </c>
      <c r="J73" s="11">
        <v>25</v>
      </c>
    </row>
    <row r="74" spans="1:10" ht="22.5" customHeight="1" x14ac:dyDescent="0.5">
      <c r="A74" s="7" t="s">
        <v>154</v>
      </c>
      <c r="B74" s="7" t="s">
        <v>479</v>
      </c>
      <c r="C74" s="7" t="s">
        <v>480</v>
      </c>
      <c r="D74" s="7"/>
      <c r="E74" s="7" t="s">
        <v>481</v>
      </c>
      <c r="F74" s="7" t="str">
        <f t="shared" si="2"/>
        <v>F_73.png</v>
      </c>
      <c r="G74" s="7" t="s">
        <v>327</v>
      </c>
      <c r="H74" s="7" t="s">
        <v>188</v>
      </c>
      <c r="I74" s="6">
        <v>6</v>
      </c>
      <c r="J74" s="6">
        <v>23</v>
      </c>
    </row>
    <row r="75" spans="1:10" ht="22.5" customHeight="1" x14ac:dyDescent="0.5">
      <c r="A75" s="12" t="s">
        <v>482</v>
      </c>
      <c r="B75" s="12" t="s">
        <v>483</v>
      </c>
      <c r="C75" s="12" t="s">
        <v>484</v>
      </c>
      <c r="D75" s="12"/>
      <c r="E75" s="12" t="s">
        <v>485</v>
      </c>
      <c r="F75" s="7" t="str">
        <f t="shared" si="2"/>
        <v>F_74.png</v>
      </c>
      <c r="G75" s="12" t="s">
        <v>239</v>
      </c>
      <c r="H75" s="12" t="s">
        <v>188</v>
      </c>
      <c r="I75" s="11">
        <v>5</v>
      </c>
      <c r="J75" s="11">
        <v>24</v>
      </c>
    </row>
    <row r="76" spans="1:10" ht="22.5" customHeight="1" x14ac:dyDescent="0.5">
      <c r="A76" s="7" t="s">
        <v>486</v>
      </c>
      <c r="B76" s="7" t="s">
        <v>487</v>
      </c>
      <c r="C76" s="7" t="s">
        <v>488</v>
      </c>
      <c r="D76" s="7"/>
      <c r="E76" s="7" t="s">
        <v>489</v>
      </c>
      <c r="F76" s="7" t="str">
        <f t="shared" si="2"/>
        <v>F_75.png</v>
      </c>
      <c r="G76" s="7" t="s">
        <v>187</v>
      </c>
      <c r="H76" s="7" t="s">
        <v>188</v>
      </c>
      <c r="I76" s="6">
        <v>6</v>
      </c>
      <c r="J76" s="6">
        <v>23</v>
      </c>
    </row>
    <row r="77" spans="1:10" ht="22.5" customHeight="1" x14ac:dyDescent="0.5">
      <c r="A77" s="12" t="s">
        <v>490</v>
      </c>
      <c r="B77" s="12" t="s">
        <v>491</v>
      </c>
      <c r="C77" s="12" t="s">
        <v>492</v>
      </c>
      <c r="D77" s="12"/>
      <c r="E77" s="12" t="s">
        <v>493</v>
      </c>
      <c r="F77" s="7" t="str">
        <f t="shared" si="2"/>
        <v>F_76.png</v>
      </c>
      <c r="G77" s="12" t="s">
        <v>181</v>
      </c>
      <c r="H77" s="12" t="s">
        <v>188</v>
      </c>
      <c r="I77" s="11">
        <v>5</v>
      </c>
      <c r="J77" s="11">
        <v>24</v>
      </c>
    </row>
    <row r="78" spans="1:10" ht="22.5" customHeight="1" x14ac:dyDescent="0.5">
      <c r="A78" s="7" t="s">
        <v>157</v>
      </c>
      <c r="B78" s="7" t="s">
        <v>494</v>
      </c>
      <c r="C78" s="7" t="s">
        <v>495</v>
      </c>
      <c r="D78" s="7"/>
      <c r="E78" s="7" t="s">
        <v>496</v>
      </c>
      <c r="F78" s="7" t="str">
        <f t="shared" si="2"/>
        <v>F_77.png</v>
      </c>
      <c r="G78" s="7" t="s">
        <v>497</v>
      </c>
      <c r="H78" s="7" t="s">
        <v>188</v>
      </c>
      <c r="I78" s="6">
        <v>5</v>
      </c>
      <c r="J78" s="6">
        <v>23</v>
      </c>
    </row>
    <row r="79" spans="1:10" ht="22.5" customHeight="1" x14ac:dyDescent="0.5">
      <c r="A79" s="12" t="s">
        <v>160</v>
      </c>
      <c r="B79" s="12" t="s">
        <v>498</v>
      </c>
      <c r="C79" s="12" t="s">
        <v>499</v>
      </c>
      <c r="D79" s="12"/>
      <c r="E79" s="12" t="s">
        <v>500</v>
      </c>
      <c r="F79" s="7" t="str">
        <f t="shared" si="2"/>
        <v>F_78.png</v>
      </c>
      <c r="G79" s="12" t="s">
        <v>501</v>
      </c>
      <c r="H79" s="12" t="s">
        <v>188</v>
      </c>
      <c r="I79" s="11">
        <v>6</v>
      </c>
      <c r="J79" s="11">
        <v>22</v>
      </c>
    </row>
    <row r="80" spans="1:10" ht="22.5" customHeight="1" x14ac:dyDescent="0.5">
      <c r="A80" s="7" t="s">
        <v>502</v>
      </c>
      <c r="B80" s="7" t="s">
        <v>503</v>
      </c>
      <c r="C80" s="7" t="s">
        <v>504</v>
      </c>
      <c r="D80" s="7"/>
      <c r="E80" s="7" t="s">
        <v>505</v>
      </c>
      <c r="F80" s="7" t="str">
        <f t="shared" si="2"/>
        <v>F_79.png</v>
      </c>
      <c r="G80" s="7" t="s">
        <v>181</v>
      </c>
      <c r="H80" s="7" t="s">
        <v>188</v>
      </c>
      <c r="I80" s="6">
        <v>5</v>
      </c>
      <c r="J80" s="6">
        <v>23</v>
      </c>
    </row>
    <row r="81" spans="1:10" ht="22.5" customHeight="1" x14ac:dyDescent="0.5">
      <c r="A81" s="12" t="s">
        <v>506</v>
      </c>
      <c r="B81" s="12" t="s">
        <v>507</v>
      </c>
      <c r="C81" s="12" t="s">
        <v>508</v>
      </c>
      <c r="D81" s="12"/>
      <c r="E81" s="12" t="s">
        <v>509</v>
      </c>
      <c r="F81" s="7" t="str">
        <f t="shared" si="2"/>
        <v>F_80.png</v>
      </c>
      <c r="G81" s="12" t="s">
        <v>510</v>
      </c>
      <c r="H81" s="12" t="s">
        <v>188</v>
      </c>
      <c r="I81" s="11">
        <v>5</v>
      </c>
      <c r="J81" s="11">
        <v>23</v>
      </c>
    </row>
    <row r="82" spans="1:10" ht="22.5" customHeight="1" x14ac:dyDescent="0.5">
      <c r="A82" s="7" t="s">
        <v>511</v>
      </c>
      <c r="B82" s="7" t="s">
        <v>512</v>
      </c>
      <c r="C82" s="7" t="s">
        <v>513</v>
      </c>
      <c r="D82" s="7"/>
      <c r="E82" s="7" t="s">
        <v>514</v>
      </c>
      <c r="F82" s="7" t="str">
        <f t="shared" si="2"/>
        <v>F_81.png</v>
      </c>
      <c r="G82" s="7" t="s">
        <v>263</v>
      </c>
      <c r="H82" s="7" t="s">
        <v>182</v>
      </c>
      <c r="I82" s="6">
        <v>5</v>
      </c>
      <c r="J82" s="6">
        <v>22</v>
      </c>
    </row>
    <row r="83" spans="1:10" ht="22.5" customHeight="1" x14ac:dyDescent="0.5">
      <c r="A83" s="12" t="s">
        <v>515</v>
      </c>
      <c r="B83" s="12" t="s">
        <v>516</v>
      </c>
      <c r="C83" s="12" t="s">
        <v>517</v>
      </c>
      <c r="D83" s="12"/>
      <c r="E83" s="12" t="s">
        <v>518</v>
      </c>
      <c r="F83" s="7" t="str">
        <f t="shared" si="2"/>
        <v>F_82.png</v>
      </c>
      <c r="G83" s="12" t="s">
        <v>187</v>
      </c>
      <c r="H83" s="12" t="s">
        <v>188</v>
      </c>
      <c r="I83" s="11">
        <v>5</v>
      </c>
      <c r="J83" s="11">
        <v>24</v>
      </c>
    </row>
    <row r="84" spans="1:10" ht="22.5" customHeight="1" x14ac:dyDescent="0.5">
      <c r="A84" s="7" t="s">
        <v>519</v>
      </c>
      <c r="B84" s="7" t="s">
        <v>520</v>
      </c>
      <c r="C84" s="7" t="s">
        <v>521</v>
      </c>
      <c r="D84" s="7"/>
      <c r="E84" s="7" t="s">
        <v>522</v>
      </c>
      <c r="F84" s="7" t="str">
        <f t="shared" si="2"/>
        <v>F_83.png</v>
      </c>
      <c r="G84" s="7" t="s">
        <v>371</v>
      </c>
      <c r="H84" s="7" t="s">
        <v>188</v>
      </c>
      <c r="I84" s="6">
        <v>5</v>
      </c>
      <c r="J84" s="6">
        <v>24</v>
      </c>
    </row>
    <row r="85" spans="1:10" ht="22.5" customHeight="1" x14ac:dyDescent="0.5">
      <c r="A85" s="12" t="s">
        <v>163</v>
      </c>
      <c r="B85" s="12" t="s">
        <v>523</v>
      </c>
      <c r="C85" s="12" t="s">
        <v>524</v>
      </c>
      <c r="D85" s="12"/>
      <c r="E85" s="12" t="s">
        <v>525</v>
      </c>
      <c r="F85" s="7" t="str">
        <f t="shared" si="2"/>
        <v>F_84.png</v>
      </c>
      <c r="G85" s="12" t="s">
        <v>327</v>
      </c>
      <c r="H85" s="12" t="s">
        <v>188</v>
      </c>
      <c r="I85" s="11">
        <v>4</v>
      </c>
      <c r="J85" s="11">
        <v>23</v>
      </c>
    </row>
    <row r="86" spans="1:10" ht="22.5" customHeight="1" x14ac:dyDescent="0.5">
      <c r="A86" s="7" t="s">
        <v>526</v>
      </c>
      <c r="B86" s="7" t="s">
        <v>527</v>
      </c>
      <c r="C86" s="7" t="s">
        <v>528</v>
      </c>
      <c r="D86" s="7"/>
      <c r="E86" s="7" t="s">
        <v>529</v>
      </c>
      <c r="F86" s="7" t="str">
        <f t="shared" si="2"/>
        <v>F_85.png</v>
      </c>
      <c r="G86" s="7" t="s">
        <v>187</v>
      </c>
      <c r="H86" s="7" t="s">
        <v>188</v>
      </c>
      <c r="I86" s="6">
        <v>6</v>
      </c>
      <c r="J86" s="6">
        <v>25</v>
      </c>
    </row>
    <row r="87" spans="1:10" ht="22.5" customHeight="1" x14ac:dyDescent="0.5">
      <c r="A87" s="12" t="s">
        <v>530</v>
      </c>
      <c r="B87" s="12" t="s">
        <v>531</v>
      </c>
      <c r="C87" s="12" t="s">
        <v>532</v>
      </c>
      <c r="D87" s="12"/>
      <c r="E87" s="12" t="s">
        <v>533</v>
      </c>
      <c r="F87" s="7" t="str">
        <f t="shared" si="2"/>
        <v>F_86.png</v>
      </c>
      <c r="G87" s="12" t="s">
        <v>327</v>
      </c>
      <c r="H87" s="12" t="s">
        <v>182</v>
      </c>
      <c r="I87" s="11">
        <v>6</v>
      </c>
      <c r="J87" s="11">
        <v>22</v>
      </c>
    </row>
    <row r="88" spans="1:10" ht="22.5" customHeight="1" x14ac:dyDescent="0.5">
      <c r="A88" s="7" t="s">
        <v>534</v>
      </c>
      <c r="B88" s="7" t="s">
        <v>535</v>
      </c>
      <c r="C88" s="7" t="s">
        <v>536</v>
      </c>
      <c r="D88" s="7"/>
      <c r="E88" s="7" t="s">
        <v>537</v>
      </c>
      <c r="F88" s="7" t="str">
        <f t="shared" si="2"/>
        <v>F_87.png</v>
      </c>
      <c r="G88" s="7" t="s">
        <v>538</v>
      </c>
      <c r="H88" s="7" t="s">
        <v>188</v>
      </c>
      <c r="I88" s="6">
        <v>5</v>
      </c>
      <c r="J88" s="6">
        <v>24</v>
      </c>
    </row>
    <row r="89" spans="1:10" ht="22.5" customHeight="1" x14ac:dyDescent="0.5">
      <c r="A89" s="12" t="s">
        <v>539</v>
      </c>
      <c r="B89" s="12" t="s">
        <v>540</v>
      </c>
      <c r="C89" s="12" t="s">
        <v>541</v>
      </c>
      <c r="D89" s="12"/>
      <c r="E89" s="12" t="s">
        <v>542</v>
      </c>
      <c r="F89" s="7" t="str">
        <f t="shared" si="2"/>
        <v>F_88.png</v>
      </c>
      <c r="G89" s="12" t="s">
        <v>181</v>
      </c>
      <c r="H89" s="12" t="s">
        <v>188</v>
      </c>
      <c r="I89" s="11">
        <v>5</v>
      </c>
      <c r="J89" s="11">
        <v>22</v>
      </c>
    </row>
    <row r="90" spans="1:10" ht="22.5" customHeight="1" x14ac:dyDescent="0.5">
      <c r="A90" s="7" t="s">
        <v>543</v>
      </c>
      <c r="B90" s="7" t="s">
        <v>544</v>
      </c>
      <c r="C90" s="7" t="s">
        <v>545</v>
      </c>
      <c r="D90" s="7"/>
      <c r="E90" s="7" t="str">
        <f ca="1">IFERROR(__xludf.DUMMYFUNCTION("AI(""copy the emoji in column A and paste it here"")"),"🦢")</f>
        <v>🦢</v>
      </c>
      <c r="F90" s="7" t="str">
        <f t="shared" si="2"/>
        <v>F_89.png</v>
      </c>
      <c r="G90" s="7" t="s">
        <v>187</v>
      </c>
      <c r="H90" s="7" t="s">
        <v>182</v>
      </c>
      <c r="I90" s="6">
        <v>6</v>
      </c>
      <c r="J90" s="6">
        <v>23</v>
      </c>
    </row>
    <row r="91" spans="1:10" ht="22.5" customHeight="1" x14ac:dyDescent="0.5">
      <c r="A91" s="12" t="s">
        <v>546</v>
      </c>
      <c r="B91" s="12" t="s">
        <v>547</v>
      </c>
      <c r="C91" s="12" t="s">
        <v>548</v>
      </c>
      <c r="D91" s="12"/>
      <c r="E91" s="12" t="str">
        <f ca="1">IFERROR(__xludf.DUMMYFUNCTION("AI(""copy the emoji in column A and paste it here"")"),"🦚")</f>
        <v>🦚</v>
      </c>
      <c r="F91" s="7" t="str">
        <f t="shared" si="2"/>
        <v>F_90.png</v>
      </c>
      <c r="G91" s="12" t="s">
        <v>187</v>
      </c>
      <c r="H91" s="12" t="s">
        <v>188</v>
      </c>
      <c r="I91" s="11">
        <v>5</v>
      </c>
      <c r="J91" s="11">
        <v>23</v>
      </c>
    </row>
    <row r="92" spans="1:10" ht="22.5" customHeight="1" x14ac:dyDescent="0.5">
      <c r="A92" s="7" t="s">
        <v>549</v>
      </c>
      <c r="B92" s="7" t="s">
        <v>550</v>
      </c>
      <c r="C92" s="7" t="s">
        <v>551</v>
      </c>
      <c r="D92" s="7"/>
      <c r="E92" s="7" t="str">
        <f ca="1">IFERROR(__xludf.DUMMYFUNCTION("AI(""copy the emoji in column A and paste it here"")"),"🦩")</f>
        <v>🦩</v>
      </c>
      <c r="F92" s="7" t="str">
        <f t="shared" si="2"/>
        <v>F_91.png</v>
      </c>
      <c r="G92" s="7" t="s">
        <v>187</v>
      </c>
      <c r="H92" s="7" t="s">
        <v>182</v>
      </c>
      <c r="I92" s="6">
        <v>6</v>
      </c>
      <c r="J92" s="6">
        <v>22</v>
      </c>
    </row>
    <row r="93" spans="1:10" ht="22.5" customHeight="1" x14ac:dyDescent="0.5">
      <c r="A93" s="12" t="s">
        <v>552</v>
      </c>
      <c r="B93" s="12" t="s">
        <v>553</v>
      </c>
      <c r="C93" s="12" t="s">
        <v>554</v>
      </c>
      <c r="D93" s="12"/>
      <c r="E93" s="12" t="str">
        <f ca="1">IFERROR(__xludf.DUMMYFUNCTION("AI(""copy the emoji in column A and paste it here"")"),"🐙")</f>
        <v>🐙</v>
      </c>
      <c r="F93" s="7" t="str">
        <f t="shared" si="2"/>
        <v>F_92.png</v>
      </c>
      <c r="G93" s="12" t="s">
        <v>187</v>
      </c>
      <c r="H93" s="12" t="s">
        <v>188</v>
      </c>
      <c r="I93" s="11">
        <v>6</v>
      </c>
      <c r="J93" s="11">
        <v>23</v>
      </c>
    </row>
    <row r="94" spans="1:10" ht="22.5" customHeight="1" x14ac:dyDescent="0.5">
      <c r="A94" s="7" t="s">
        <v>555</v>
      </c>
      <c r="B94" s="7" t="s">
        <v>556</v>
      </c>
      <c r="C94" s="7" t="s">
        <v>557</v>
      </c>
      <c r="D94" s="7"/>
      <c r="E94" s="7" t="str">
        <f ca="1">IFERROR(__xludf.DUMMYFUNCTION("AI(""copy the emoji in column A and paste it here"")"),"🦀")</f>
        <v>🦀</v>
      </c>
      <c r="F94" s="7" t="str">
        <f t="shared" si="2"/>
        <v>F_93.png</v>
      </c>
      <c r="G94" s="7" t="s">
        <v>558</v>
      </c>
      <c r="H94" s="7" t="s">
        <v>188</v>
      </c>
      <c r="I94" s="6">
        <v>5</v>
      </c>
      <c r="J94" s="6">
        <v>23</v>
      </c>
    </row>
    <row r="95" spans="1:10" ht="22.5" customHeight="1" x14ac:dyDescent="0.5">
      <c r="A95" s="12" t="s">
        <v>559</v>
      </c>
      <c r="B95" s="12" t="s">
        <v>560</v>
      </c>
      <c r="C95" s="12" t="s">
        <v>561</v>
      </c>
      <c r="D95" s="12"/>
      <c r="E95" s="12" t="str">
        <f ca="1">IFERROR(__xludf.DUMMYFUNCTION("AI(""copy the emoji in column A and paste it here"")"),"🦑")</f>
        <v>🦑</v>
      </c>
      <c r="F95" s="7" t="str">
        <f t="shared" si="2"/>
        <v>F_94.png</v>
      </c>
      <c r="G95" s="12" t="s">
        <v>562</v>
      </c>
      <c r="H95" s="12" t="s">
        <v>188</v>
      </c>
      <c r="I95" s="11">
        <v>5</v>
      </c>
      <c r="J95" s="11">
        <v>25</v>
      </c>
    </row>
    <row r="96" spans="1:10" ht="22.5" customHeight="1" x14ac:dyDescent="0.5">
      <c r="A96" s="7" t="s">
        <v>563</v>
      </c>
      <c r="B96" s="7" t="s">
        <v>564</v>
      </c>
      <c r="C96" s="7" t="s">
        <v>565</v>
      </c>
      <c r="D96" s="7"/>
      <c r="E96" s="7" t="str">
        <f ca="1">IFERROR(__xludf.DUMMYFUNCTION("AI(""copy the emoji in column A and paste it here"")"),"🦘")</f>
        <v>🦘</v>
      </c>
      <c r="F96" s="7" t="str">
        <f t="shared" si="2"/>
        <v>F_95.png</v>
      </c>
      <c r="G96" s="7" t="s">
        <v>187</v>
      </c>
      <c r="H96" s="7" t="s">
        <v>188</v>
      </c>
      <c r="I96" s="6">
        <v>6</v>
      </c>
      <c r="J96" s="6">
        <v>23</v>
      </c>
    </row>
    <row r="97" spans="1:10" ht="22.5" customHeight="1" x14ac:dyDescent="0.5">
      <c r="A97" s="12" t="s">
        <v>566</v>
      </c>
      <c r="B97" s="12" t="s">
        <v>567</v>
      </c>
      <c r="C97" s="21" t="s">
        <v>796</v>
      </c>
      <c r="D97" s="12" t="s">
        <v>800</v>
      </c>
      <c r="E97" s="12" t="str">
        <f ca="1">IFERROR(__xludf.DUMMYFUNCTION("AI(""copy the emoji in column A and paste it here"")"),"🥐")</f>
        <v>🥐</v>
      </c>
      <c r="F97" s="7" t="str">
        <f t="shared" si="2"/>
        <v>F_96.png</v>
      </c>
      <c r="G97" s="12" t="s">
        <v>327</v>
      </c>
      <c r="H97" s="12" t="s">
        <v>188</v>
      </c>
      <c r="I97" s="11">
        <v>5</v>
      </c>
      <c r="J97" s="11">
        <v>25</v>
      </c>
    </row>
    <row r="98" spans="1:10" ht="22.5" customHeight="1" x14ac:dyDescent="0.5">
      <c r="A98" s="7" t="s">
        <v>568</v>
      </c>
      <c r="B98" s="7" t="s">
        <v>569</v>
      </c>
      <c r="C98" s="7" t="s">
        <v>570</v>
      </c>
      <c r="D98" s="7"/>
      <c r="E98" s="7" t="str">
        <f ca="1">IFERROR(__xludf.DUMMYFUNCTION("AI(""copy the emoji in column A and paste it here"")"),"🥯")</f>
        <v>🥯</v>
      </c>
      <c r="F98" s="7" t="str">
        <f t="shared" ref="F98:F129" si="3">A98&amp;".png"</f>
        <v>F_97.png</v>
      </c>
      <c r="G98" s="7" t="s">
        <v>327</v>
      </c>
      <c r="H98" s="7" t="s">
        <v>188</v>
      </c>
      <c r="I98" s="6">
        <v>6</v>
      </c>
      <c r="J98" s="6">
        <v>25</v>
      </c>
    </row>
    <row r="99" spans="1:10" ht="22.5" customHeight="1" x14ac:dyDescent="0.5">
      <c r="A99" s="12" t="s">
        <v>571</v>
      </c>
      <c r="B99" s="12" t="s">
        <v>572</v>
      </c>
      <c r="C99" s="12" t="s">
        <v>573</v>
      </c>
      <c r="D99" s="12"/>
      <c r="E99" s="12" t="str">
        <f ca="1">IFERROR(__xludf.DUMMYFUNCTION("AI(""copy the emoji in column A and paste it here"")"),"🥞")</f>
        <v>🥞</v>
      </c>
      <c r="F99" s="7" t="str">
        <f t="shared" si="3"/>
        <v>F_98.png</v>
      </c>
      <c r="G99" s="12" t="s">
        <v>327</v>
      </c>
      <c r="H99" s="12" t="s">
        <v>182</v>
      </c>
      <c r="I99" s="11">
        <v>6</v>
      </c>
      <c r="J99" s="11">
        <v>24</v>
      </c>
    </row>
    <row r="100" spans="1:10" ht="22.5" customHeight="1" x14ac:dyDescent="0.5">
      <c r="A100" s="7" t="s">
        <v>574</v>
      </c>
      <c r="B100" s="7" t="s">
        <v>575</v>
      </c>
      <c r="C100" s="7" t="s">
        <v>576</v>
      </c>
      <c r="D100" s="7"/>
      <c r="E100" s="7" t="str">
        <f ca="1">IFERROR(__xludf.DUMMYFUNCTION("AI(""copy the emoji in column A and paste it here"")"),"🧇")</f>
        <v>🧇</v>
      </c>
      <c r="F100" s="7" t="str">
        <f t="shared" si="3"/>
        <v>F_99.png</v>
      </c>
      <c r="G100" s="7" t="s">
        <v>327</v>
      </c>
      <c r="H100" s="7" t="s">
        <v>182</v>
      </c>
      <c r="I100" s="6">
        <v>5</v>
      </c>
      <c r="J100" s="6">
        <v>22</v>
      </c>
    </row>
    <row r="101" spans="1:10" ht="22.5" customHeight="1" x14ac:dyDescent="0.5">
      <c r="A101" s="12" t="s">
        <v>577</v>
      </c>
      <c r="B101" s="12" t="s">
        <v>578</v>
      </c>
      <c r="C101" s="12" t="s">
        <v>579</v>
      </c>
      <c r="D101" s="12"/>
      <c r="E101" s="12" t="str">
        <f ca="1">IFERROR(__xludf.DUMMYFUNCTION("AI(""copy the emoji in column A and paste it here"")"),"🧈")</f>
        <v>🧈</v>
      </c>
      <c r="F101" s="7" t="str">
        <f t="shared" si="3"/>
        <v>F_100.png</v>
      </c>
      <c r="G101" s="12" t="s">
        <v>327</v>
      </c>
      <c r="H101" s="12" t="s">
        <v>188</v>
      </c>
      <c r="I101" s="11">
        <v>5</v>
      </c>
      <c r="J101" s="11">
        <v>24</v>
      </c>
    </row>
    <row r="102" spans="1:10" ht="22.5" customHeight="1" x14ac:dyDescent="0.5">
      <c r="A102" s="7" t="s">
        <v>580</v>
      </c>
      <c r="B102" s="7" t="s">
        <v>581</v>
      </c>
      <c r="C102" s="7" t="s">
        <v>582</v>
      </c>
      <c r="D102" s="7"/>
      <c r="E102" s="7" t="str">
        <f ca="1">IFERROR(__xludf.DUMMYFUNCTION("AI(""copy the emoji in column A and paste it here"")"),"🧵")</f>
        <v>🧵</v>
      </c>
      <c r="F102" s="7" t="str">
        <f t="shared" si="3"/>
        <v>F_101.png</v>
      </c>
      <c r="G102" s="7" t="s">
        <v>287</v>
      </c>
      <c r="H102" s="7" t="s">
        <v>188</v>
      </c>
      <c r="I102" s="6">
        <v>6</v>
      </c>
      <c r="J102" s="6">
        <v>25</v>
      </c>
    </row>
    <row r="103" spans="1:10" ht="22.5" customHeight="1" x14ac:dyDescent="0.5">
      <c r="A103" s="12" t="s">
        <v>583</v>
      </c>
      <c r="B103" s="12" t="s">
        <v>584</v>
      </c>
      <c r="C103" s="12" t="s">
        <v>585</v>
      </c>
      <c r="D103" s="12"/>
      <c r="E103" s="12" t="str">
        <f ca="1">IFERROR(__xludf.DUMMYFUNCTION("AI(""copy the emoji in column A and paste it here"")"),"🧷")</f>
        <v>🧷</v>
      </c>
      <c r="F103" s="7" t="str">
        <f t="shared" si="3"/>
        <v>F_102.png</v>
      </c>
      <c r="G103" s="12" t="s">
        <v>586</v>
      </c>
      <c r="H103" s="12" t="s">
        <v>182</v>
      </c>
      <c r="I103" s="11">
        <v>5</v>
      </c>
      <c r="J103" s="11">
        <v>23</v>
      </c>
    </row>
    <row r="104" spans="1:10" ht="22.5" customHeight="1" x14ac:dyDescent="0.5">
      <c r="A104" s="7" t="s">
        <v>587</v>
      </c>
      <c r="B104" s="7" t="s">
        <v>588</v>
      </c>
      <c r="C104" s="7" t="s">
        <v>589</v>
      </c>
      <c r="D104" s="7"/>
      <c r="E104" s="7" t="str">
        <f ca="1">IFERROR(__xludf.DUMMYFUNCTION("AI(""copy the emoji in column A and paste it here"")"),"📌")</f>
        <v>📌</v>
      </c>
      <c r="F104" s="7" t="str">
        <f t="shared" si="3"/>
        <v>F_103.png</v>
      </c>
      <c r="G104" s="7" t="s">
        <v>181</v>
      </c>
      <c r="H104" s="7" t="s">
        <v>188</v>
      </c>
      <c r="I104" s="6">
        <v>6</v>
      </c>
      <c r="J104" s="6">
        <v>23</v>
      </c>
    </row>
    <row r="105" spans="1:10" ht="22.5" customHeight="1" x14ac:dyDescent="0.5">
      <c r="A105" s="12" t="s">
        <v>590</v>
      </c>
      <c r="B105" s="12" t="s">
        <v>591</v>
      </c>
      <c r="C105" s="12" t="s">
        <v>592</v>
      </c>
      <c r="D105" s="12"/>
      <c r="E105" s="12" t="str">
        <f ca="1">IFERROR(__xludf.DUMMYFUNCTION("AI(""copy the emoji in column A and paste it here"")"),"🧽")</f>
        <v>🧽</v>
      </c>
      <c r="F105" s="7" t="str">
        <f t="shared" si="3"/>
        <v>F_104.png</v>
      </c>
      <c r="G105" s="12" t="s">
        <v>593</v>
      </c>
      <c r="H105" s="12" t="s">
        <v>182</v>
      </c>
      <c r="I105" s="11">
        <v>5</v>
      </c>
      <c r="J105" s="11">
        <v>22</v>
      </c>
    </row>
    <row r="106" spans="1:10" ht="22.5" customHeight="1" x14ac:dyDescent="0.5">
      <c r="A106" s="7" t="s">
        <v>594</v>
      </c>
      <c r="B106" s="7" t="s">
        <v>595</v>
      </c>
      <c r="C106" s="7" t="s">
        <v>596</v>
      </c>
      <c r="D106" s="7"/>
      <c r="E106" s="7" t="str">
        <f ca="1">IFERROR(__xludf.DUMMYFUNCTION("AI(""copy the emoji in column A and paste it here"")"),"🧼")</f>
        <v>🧼</v>
      </c>
      <c r="F106" s="7" t="str">
        <f t="shared" si="3"/>
        <v>F_105.png</v>
      </c>
      <c r="G106" s="7" t="s">
        <v>593</v>
      </c>
      <c r="H106" s="7" t="s">
        <v>182</v>
      </c>
      <c r="I106" s="6">
        <v>6</v>
      </c>
      <c r="J106" s="6">
        <v>24</v>
      </c>
    </row>
    <row r="107" spans="1:10" ht="22.5" customHeight="1" x14ac:dyDescent="0.5">
      <c r="A107" s="12" t="s">
        <v>597</v>
      </c>
      <c r="B107" s="12" t="s">
        <v>598</v>
      </c>
      <c r="C107" s="12" t="s">
        <v>599</v>
      </c>
      <c r="D107" s="12"/>
      <c r="E107" s="12" t="str">
        <f ca="1">IFERROR(__xludf.DUMMYFUNCTION("AI(""copy the emoji in column A and paste it here"")"),"⚙️")</f>
        <v>⚙️</v>
      </c>
      <c r="F107" s="7" t="str">
        <f t="shared" si="3"/>
        <v>F_106.png</v>
      </c>
      <c r="G107" s="12" t="s">
        <v>600</v>
      </c>
      <c r="H107" s="12" t="s">
        <v>188</v>
      </c>
      <c r="I107" s="11">
        <v>5</v>
      </c>
      <c r="J107" s="11">
        <v>22</v>
      </c>
    </row>
    <row r="108" spans="1:10" ht="22.5" customHeight="1" x14ac:dyDescent="0.5">
      <c r="A108" s="7" t="s">
        <v>601</v>
      </c>
      <c r="B108" s="7" t="s">
        <v>602</v>
      </c>
      <c r="C108" s="7" t="s">
        <v>603</v>
      </c>
      <c r="D108" s="7"/>
      <c r="E108" s="7" t="str">
        <f ca="1">IFERROR(__xludf.DUMMYFUNCTION("AI(""copy the emoji in column A and paste it here"")"),"🛶")</f>
        <v>🛶</v>
      </c>
      <c r="F108" s="7" t="str">
        <f t="shared" si="3"/>
        <v>F_107.png</v>
      </c>
      <c r="G108" s="7" t="s">
        <v>604</v>
      </c>
      <c r="H108" s="7" t="s">
        <v>182</v>
      </c>
      <c r="I108" s="6">
        <v>6</v>
      </c>
      <c r="J108" s="6">
        <v>25</v>
      </c>
    </row>
    <row r="109" spans="1:10" ht="22.5" customHeight="1" x14ac:dyDescent="0.5">
      <c r="A109" s="12" t="s">
        <v>605</v>
      </c>
      <c r="B109" s="12" t="s">
        <v>606</v>
      </c>
      <c r="C109" s="12" t="s">
        <v>607</v>
      </c>
      <c r="D109" s="12"/>
      <c r="E109" s="12" t="str">
        <f ca="1">IFERROR(__xludf.DUMMYFUNCTION("AI(""copy the emoji in column A and paste it here"")"),"🦼")</f>
        <v>🦼</v>
      </c>
      <c r="F109" s="7" t="str">
        <f t="shared" si="3"/>
        <v>F_108.png</v>
      </c>
      <c r="G109" s="12" t="s">
        <v>608</v>
      </c>
      <c r="H109" s="12" t="s">
        <v>182</v>
      </c>
      <c r="I109" s="11">
        <v>6</v>
      </c>
      <c r="J109" s="11">
        <v>25</v>
      </c>
    </row>
    <row r="110" spans="1:10" ht="22.5" customHeight="1" x14ac:dyDescent="0.5">
      <c r="A110" s="7" t="s">
        <v>609</v>
      </c>
      <c r="B110" s="7" t="s">
        <v>610</v>
      </c>
      <c r="C110" s="7" t="s">
        <v>611</v>
      </c>
      <c r="D110" s="7"/>
      <c r="E110" s="7" t="str">
        <f ca="1">IFERROR(__xludf.DUMMYFUNCTION("AI(""copy the emoji in column A and paste it here"")"),"🧥")</f>
        <v>🧥</v>
      </c>
      <c r="F110" s="7" t="str">
        <f t="shared" si="3"/>
        <v>F_109.png</v>
      </c>
      <c r="G110" s="7" t="s">
        <v>612</v>
      </c>
      <c r="H110" s="7" t="s">
        <v>188</v>
      </c>
      <c r="I110" s="6">
        <v>5</v>
      </c>
      <c r="J110" s="6">
        <v>23</v>
      </c>
    </row>
    <row r="111" spans="1:10" ht="22.5" customHeight="1" x14ac:dyDescent="0.5">
      <c r="A111" s="12" t="s">
        <v>613</v>
      </c>
      <c r="B111" s="12" t="s">
        <v>614</v>
      </c>
      <c r="C111" s="12" t="s">
        <v>615</v>
      </c>
      <c r="D111" s="12"/>
      <c r="E111" s="12" t="str">
        <f ca="1">IFERROR(__xludf.DUMMYFUNCTION("AI(""copy the emoji in column A and paste it here"")"),"👘")</f>
        <v>👘</v>
      </c>
      <c r="F111" s="7" t="str">
        <f t="shared" si="3"/>
        <v>F_110.png</v>
      </c>
      <c r="G111" s="12" t="s">
        <v>287</v>
      </c>
      <c r="H111" s="12" t="s">
        <v>188</v>
      </c>
      <c r="I111" s="11">
        <v>6</v>
      </c>
      <c r="J111" s="11">
        <v>24</v>
      </c>
    </row>
    <row r="112" spans="1:10" ht="22.5" customHeight="1" x14ac:dyDescent="0.5">
      <c r="A112" s="7" t="s">
        <v>616</v>
      </c>
      <c r="B112" s="7" t="s">
        <v>617</v>
      </c>
      <c r="C112" s="7" t="s">
        <v>618</v>
      </c>
      <c r="D112" s="7"/>
      <c r="E112" s="7" t="str">
        <f ca="1">IFERROR(__xludf.DUMMYFUNCTION("AI(""copy the emoji in column A and paste it here"")"),"🩱")</f>
        <v>🩱</v>
      </c>
      <c r="F112" s="7" t="str">
        <f t="shared" si="3"/>
        <v>F_111.png</v>
      </c>
      <c r="G112" s="7" t="s">
        <v>612</v>
      </c>
      <c r="H112" s="7" t="s">
        <v>182</v>
      </c>
      <c r="I112" s="6">
        <v>6</v>
      </c>
      <c r="J112" s="6">
        <v>24</v>
      </c>
    </row>
    <row r="113" spans="1:10" ht="22.5" customHeight="1" x14ac:dyDescent="0.5">
      <c r="A113" s="12" t="s">
        <v>619</v>
      </c>
      <c r="B113" s="12" t="s">
        <v>620</v>
      </c>
      <c r="C113" s="12" t="s">
        <v>621</v>
      </c>
      <c r="D113" s="12"/>
      <c r="E113" s="12" t="str">
        <f ca="1">IFERROR(__xludf.DUMMYFUNCTION("AI(""copy the emoji in column A and paste it here"")"),"🦔")</f>
        <v>🦔</v>
      </c>
      <c r="F113" s="7" t="str">
        <f t="shared" si="3"/>
        <v>F_112.png</v>
      </c>
      <c r="G113" s="12" t="s">
        <v>187</v>
      </c>
      <c r="H113" s="12" t="s">
        <v>188</v>
      </c>
      <c r="I113" s="11">
        <v>6</v>
      </c>
      <c r="J113" s="11">
        <v>23</v>
      </c>
    </row>
    <row r="114" spans="1:10" ht="22.5" customHeight="1" x14ac:dyDescent="0.5">
      <c r="A114" s="7" t="s">
        <v>622</v>
      </c>
      <c r="B114" s="7" t="s">
        <v>623</v>
      </c>
      <c r="C114" s="7" t="s">
        <v>624</v>
      </c>
      <c r="D114" s="7"/>
      <c r="E114" s="7" t="s">
        <v>625</v>
      </c>
      <c r="F114" s="7" t="str">
        <f t="shared" si="3"/>
        <v>F_113.png</v>
      </c>
      <c r="G114" s="7" t="s">
        <v>187</v>
      </c>
      <c r="H114" s="7" t="s">
        <v>188</v>
      </c>
      <c r="I114" s="6">
        <v>6</v>
      </c>
      <c r="J114" s="6">
        <v>24</v>
      </c>
    </row>
    <row r="115" spans="1:10" ht="22.5" customHeight="1" x14ac:dyDescent="0.5">
      <c r="A115" s="12" t="s">
        <v>626</v>
      </c>
      <c r="B115" s="12" t="s">
        <v>627</v>
      </c>
      <c r="C115" s="12" t="s">
        <v>628</v>
      </c>
      <c r="D115" s="12"/>
      <c r="E115" s="12" t="s">
        <v>629</v>
      </c>
      <c r="F115" s="7" t="str">
        <f t="shared" si="3"/>
        <v>F_114.png</v>
      </c>
      <c r="G115" s="12" t="s">
        <v>187</v>
      </c>
      <c r="H115" s="12" t="s">
        <v>182</v>
      </c>
      <c r="I115" s="11">
        <v>5</v>
      </c>
      <c r="J115" s="11">
        <v>24</v>
      </c>
    </row>
    <row r="116" spans="1:10" ht="22.5" customHeight="1" x14ac:dyDescent="0.5">
      <c r="A116" s="7" t="s">
        <v>78</v>
      </c>
      <c r="B116" s="7" t="s">
        <v>630</v>
      </c>
      <c r="C116" s="7" t="s">
        <v>631</v>
      </c>
      <c r="D116" s="7"/>
      <c r="E116" s="7" t="s">
        <v>632</v>
      </c>
      <c r="F116" s="7" t="str">
        <f t="shared" si="3"/>
        <v>F_115.png</v>
      </c>
      <c r="G116" s="7" t="s">
        <v>593</v>
      </c>
      <c r="H116" s="7" t="s">
        <v>188</v>
      </c>
      <c r="I116" s="6">
        <v>7</v>
      </c>
      <c r="J116" s="6">
        <v>23</v>
      </c>
    </row>
    <row r="117" spans="1:10" ht="22.5" customHeight="1" x14ac:dyDescent="0.5">
      <c r="A117" s="12" t="s">
        <v>633</v>
      </c>
      <c r="B117" s="12" t="s">
        <v>634</v>
      </c>
      <c r="C117" s="12" t="s">
        <v>635</v>
      </c>
      <c r="D117" s="12"/>
      <c r="E117" s="12" t="str">
        <f ca="1">IFERROR(__xludf.DUMMYFUNCTION("AI(""copy the emoji in column A and paste it here"")"),"🫆")</f>
        <v>🫆</v>
      </c>
      <c r="F117" s="7" t="str">
        <f t="shared" si="3"/>
        <v>F_116.png</v>
      </c>
      <c r="G117" s="12" t="s">
        <v>636</v>
      </c>
      <c r="H117" s="12" t="s">
        <v>188</v>
      </c>
      <c r="I117" s="11">
        <v>4</v>
      </c>
      <c r="J117" s="11">
        <v>25</v>
      </c>
    </row>
    <row r="118" spans="1:10" ht="22.5" customHeight="1" x14ac:dyDescent="0.5">
      <c r="A118" s="7" t="s">
        <v>82</v>
      </c>
      <c r="B118" s="7" t="s">
        <v>637</v>
      </c>
      <c r="C118" s="7" t="s">
        <v>638</v>
      </c>
      <c r="D118" s="7"/>
      <c r="E118" s="7" t="str">
        <f ca="1">IFERROR(__xludf.DUMMYFUNCTION("AI(""copy the emoji in column A and paste it here"")"),"🥷")</f>
        <v>🥷</v>
      </c>
      <c r="F118" s="7" t="str">
        <f t="shared" si="3"/>
        <v>F_117.png</v>
      </c>
      <c r="G118" s="7" t="s">
        <v>639</v>
      </c>
      <c r="H118" s="7" t="s">
        <v>188</v>
      </c>
      <c r="I118" s="6">
        <v>5</v>
      </c>
      <c r="J118" s="6">
        <v>25</v>
      </c>
    </row>
    <row r="119" spans="1:10" ht="22.5" customHeight="1" x14ac:dyDescent="0.5">
      <c r="A119" s="12" t="s">
        <v>640</v>
      </c>
      <c r="B119" s="12" t="s">
        <v>641</v>
      </c>
      <c r="C119" s="12" t="s">
        <v>642</v>
      </c>
      <c r="D119" s="12"/>
      <c r="E119" s="12" t="str">
        <f ca="1">IFERROR(__xludf.DUMMYFUNCTION("AI(""copy the emoji in column A and paste it here"")"),"💂‍♂️")</f>
        <v>💂‍♂️</v>
      </c>
      <c r="F119" s="7" t="str">
        <f t="shared" si="3"/>
        <v>F_118.png</v>
      </c>
      <c r="G119" s="12" t="s">
        <v>643</v>
      </c>
      <c r="H119" s="12" t="s">
        <v>188</v>
      </c>
      <c r="I119" s="11">
        <v>5</v>
      </c>
      <c r="J119" s="11">
        <v>23</v>
      </c>
    </row>
    <row r="120" spans="1:10" ht="22.5" customHeight="1" x14ac:dyDescent="0.5">
      <c r="A120" s="7" t="s">
        <v>644</v>
      </c>
      <c r="B120" s="7" t="s">
        <v>645</v>
      </c>
      <c r="C120" s="7" t="s">
        <v>646</v>
      </c>
      <c r="D120" s="7"/>
      <c r="E120" s="7" t="str">
        <f ca="1">IFERROR(__xludf.DUMMYFUNCTION("AI(""copy the emoji in column A and paste it here"")"),"📽️")</f>
        <v>📽️</v>
      </c>
      <c r="F120" s="7" t="str">
        <f t="shared" si="3"/>
        <v>F_119.png</v>
      </c>
      <c r="G120" s="7" t="s">
        <v>510</v>
      </c>
      <c r="H120" s="7" t="s">
        <v>188</v>
      </c>
      <c r="I120" s="6">
        <v>5</v>
      </c>
      <c r="J120" s="6">
        <v>24</v>
      </c>
    </row>
    <row r="121" spans="1:10" ht="22.5" customHeight="1" x14ac:dyDescent="0.5">
      <c r="A121" s="12" t="s">
        <v>647</v>
      </c>
      <c r="B121" s="12" t="s">
        <v>648</v>
      </c>
      <c r="C121" s="12" t="s">
        <v>649</v>
      </c>
      <c r="D121" s="12"/>
      <c r="E121" s="12" t="str">
        <f ca="1">IFERROR(__xludf.DUMMYFUNCTION("AI(""copy the emoji in column A and paste it here"")"),"🪗")</f>
        <v>🪗</v>
      </c>
      <c r="F121" s="7" t="str">
        <f t="shared" si="3"/>
        <v>F_120.png</v>
      </c>
      <c r="G121" s="12" t="s">
        <v>239</v>
      </c>
      <c r="H121" s="12" t="s">
        <v>188</v>
      </c>
      <c r="I121" s="11">
        <v>6</v>
      </c>
      <c r="J121" s="11">
        <v>23</v>
      </c>
    </row>
    <row r="122" spans="1:10" ht="22.5" customHeight="1" x14ac:dyDescent="0.5">
      <c r="A122" s="7" t="s">
        <v>88</v>
      </c>
      <c r="B122" s="7" t="s">
        <v>650</v>
      </c>
      <c r="C122" s="7" t="s">
        <v>651</v>
      </c>
      <c r="D122" s="7"/>
      <c r="E122" s="7" t="str">
        <f ca="1">IFERROR(__xludf.DUMMYFUNCTION("AI(""copy the emoji in column A and paste it here"")"),"🪞")</f>
        <v>🪞</v>
      </c>
      <c r="F122" s="7" t="str">
        <f t="shared" si="3"/>
        <v>F_121.png</v>
      </c>
      <c r="G122" s="7" t="s">
        <v>181</v>
      </c>
      <c r="H122" s="7" t="s">
        <v>188</v>
      </c>
      <c r="I122" s="6">
        <v>4</v>
      </c>
      <c r="J122" s="6">
        <v>22</v>
      </c>
    </row>
    <row r="123" spans="1:10" ht="22.5" customHeight="1" x14ac:dyDescent="0.5">
      <c r="A123" s="12" t="s">
        <v>652</v>
      </c>
      <c r="B123" s="12" t="s">
        <v>653</v>
      </c>
      <c r="C123" s="12" t="s">
        <v>654</v>
      </c>
      <c r="D123" s="12"/>
      <c r="E123" s="12" t="str">
        <f ca="1">IFERROR(__xludf.DUMMYFUNCTION("AI(""copy the emoji in column A and paste it here"")"),"🛁")</f>
        <v>🛁</v>
      </c>
      <c r="F123" s="7" t="str">
        <f t="shared" si="3"/>
        <v>F_122.png</v>
      </c>
      <c r="G123" s="12" t="s">
        <v>593</v>
      </c>
      <c r="H123" s="12" t="s">
        <v>188</v>
      </c>
      <c r="I123" s="11">
        <v>5</v>
      </c>
      <c r="J123" s="11">
        <v>22</v>
      </c>
    </row>
    <row r="124" spans="1:10" ht="22.5" customHeight="1" x14ac:dyDescent="0.5">
      <c r="A124" s="7" t="s">
        <v>655</v>
      </c>
      <c r="B124" s="7" t="s">
        <v>656</v>
      </c>
      <c r="C124" s="7" t="s">
        <v>657</v>
      </c>
      <c r="D124" s="7"/>
      <c r="E124" s="7" t="s">
        <v>658</v>
      </c>
      <c r="F124" s="7" t="str">
        <f t="shared" si="3"/>
        <v>F_123.png</v>
      </c>
      <c r="G124" s="7" t="s">
        <v>327</v>
      </c>
      <c r="H124" s="7" t="s">
        <v>182</v>
      </c>
      <c r="I124" s="6">
        <v>4</v>
      </c>
      <c r="J124" s="6">
        <v>24</v>
      </c>
    </row>
    <row r="125" spans="1:10" ht="22.5" customHeight="1" x14ac:dyDescent="0.5">
      <c r="A125" s="12" t="s">
        <v>659</v>
      </c>
      <c r="B125" s="12" t="s">
        <v>660</v>
      </c>
      <c r="C125" s="12" t="s">
        <v>661</v>
      </c>
      <c r="D125" s="12"/>
      <c r="E125" s="12" t="str">
        <f ca="1">IFERROR(__xludf.DUMMYFUNCTION("AI(""copy the emoji in column A and paste it here"")"),"🍞")</f>
        <v>🍞</v>
      </c>
      <c r="F125" s="7" t="str">
        <f t="shared" si="3"/>
        <v>F_124.png</v>
      </c>
      <c r="G125" s="12" t="s">
        <v>327</v>
      </c>
      <c r="H125" s="12" t="s">
        <v>182</v>
      </c>
      <c r="I125" s="11">
        <v>5</v>
      </c>
      <c r="J125" s="11">
        <v>23</v>
      </c>
    </row>
    <row r="126" spans="1:10" ht="22.5" customHeight="1" x14ac:dyDescent="0.5">
      <c r="A126" s="7" t="s">
        <v>662</v>
      </c>
      <c r="B126" s="7" t="s">
        <v>663</v>
      </c>
      <c r="C126" s="7" t="s">
        <v>664</v>
      </c>
      <c r="D126" s="7"/>
      <c r="E126" s="7" t="s">
        <v>665</v>
      </c>
      <c r="F126" s="7" t="str">
        <f t="shared" si="3"/>
        <v>F_125.png</v>
      </c>
      <c r="G126" s="7" t="s">
        <v>327</v>
      </c>
      <c r="H126" s="7" t="s">
        <v>182</v>
      </c>
      <c r="I126" s="6">
        <v>5</v>
      </c>
      <c r="J126" s="6">
        <v>25</v>
      </c>
    </row>
    <row r="127" spans="1:10" ht="22.5" customHeight="1" x14ac:dyDescent="0.5">
      <c r="A127" s="12" t="s">
        <v>666</v>
      </c>
      <c r="B127" s="12" t="s">
        <v>667</v>
      </c>
      <c r="C127" s="12" t="s">
        <v>668</v>
      </c>
      <c r="D127" s="12"/>
      <c r="E127" s="12" t="s">
        <v>669</v>
      </c>
      <c r="F127" s="7" t="str">
        <f t="shared" si="3"/>
        <v>F_126.png</v>
      </c>
      <c r="G127" s="12" t="s">
        <v>327</v>
      </c>
      <c r="H127" s="12" t="s">
        <v>188</v>
      </c>
      <c r="I127" s="11">
        <v>6</v>
      </c>
      <c r="J127" s="11">
        <v>23</v>
      </c>
    </row>
    <row r="128" spans="1:10" ht="22.5" customHeight="1" x14ac:dyDescent="0.5">
      <c r="A128" s="7" t="s">
        <v>670</v>
      </c>
      <c r="B128" s="7" t="s">
        <v>671</v>
      </c>
      <c r="C128" s="7" t="s">
        <v>672</v>
      </c>
      <c r="D128" s="7"/>
      <c r="E128" s="7" t="s">
        <v>673</v>
      </c>
      <c r="F128" s="7" t="str">
        <f t="shared" si="3"/>
        <v>F_127.png</v>
      </c>
      <c r="G128" s="7" t="s">
        <v>327</v>
      </c>
      <c r="H128" s="7" t="s">
        <v>182</v>
      </c>
      <c r="I128" s="6">
        <v>5</v>
      </c>
      <c r="J128" s="6">
        <v>22</v>
      </c>
    </row>
    <row r="129" spans="1:10" ht="22.5" customHeight="1" x14ac:dyDescent="0.5">
      <c r="A129" s="12" t="s">
        <v>674</v>
      </c>
      <c r="B129" s="12" t="s">
        <v>675</v>
      </c>
      <c r="C129" s="21" t="s">
        <v>801</v>
      </c>
      <c r="D129" s="12" t="s">
        <v>802</v>
      </c>
      <c r="E129" s="12" t="s">
        <v>676</v>
      </c>
      <c r="F129" s="7" t="str">
        <f t="shared" si="3"/>
        <v>F_128.png</v>
      </c>
      <c r="G129" s="12" t="s">
        <v>327</v>
      </c>
      <c r="H129" s="12" t="s">
        <v>182</v>
      </c>
      <c r="I129" s="11">
        <v>4</v>
      </c>
      <c r="J129" s="11">
        <v>24</v>
      </c>
    </row>
    <row r="130" spans="1:10" ht="22.5" customHeight="1" x14ac:dyDescent="0.5">
      <c r="A130" s="7" t="s">
        <v>91</v>
      </c>
      <c r="B130" s="7" t="s">
        <v>677</v>
      </c>
      <c r="C130" s="7" t="s">
        <v>678</v>
      </c>
      <c r="D130" s="7"/>
      <c r="E130" s="7" t="s">
        <v>679</v>
      </c>
      <c r="F130" s="7" t="str">
        <f t="shared" ref="F130:F161" si="4">A130&amp;".png"</f>
        <v>F_129.png</v>
      </c>
      <c r="G130" s="7" t="s">
        <v>327</v>
      </c>
      <c r="H130" s="7" t="s">
        <v>188</v>
      </c>
      <c r="I130" s="6">
        <v>5</v>
      </c>
      <c r="J130" s="6">
        <v>24</v>
      </c>
    </row>
    <row r="131" spans="1:10" ht="22.5" customHeight="1" x14ac:dyDescent="0.5">
      <c r="A131" s="12" t="s">
        <v>680</v>
      </c>
      <c r="B131" s="12" t="s">
        <v>681</v>
      </c>
      <c r="C131" s="12" t="s">
        <v>682</v>
      </c>
      <c r="D131" s="12"/>
      <c r="E131" s="12" t="str">
        <f ca="1">IFERROR(__xludf.DUMMYFUNCTION("AI(""copy the emoji in column A and paste it here"")"),"🍑")</f>
        <v>🍑</v>
      </c>
      <c r="F131" s="7" t="str">
        <f t="shared" si="4"/>
        <v>F_130.png</v>
      </c>
      <c r="G131" s="12" t="s">
        <v>327</v>
      </c>
      <c r="H131" s="12" t="s">
        <v>182</v>
      </c>
      <c r="I131" s="11">
        <v>5</v>
      </c>
      <c r="J131" s="11">
        <v>25</v>
      </c>
    </row>
    <row r="132" spans="1:10" ht="22.5" customHeight="1" x14ac:dyDescent="0.5">
      <c r="A132" s="7" t="s">
        <v>683</v>
      </c>
      <c r="B132" s="7" t="s">
        <v>684</v>
      </c>
      <c r="C132" s="7" t="s">
        <v>685</v>
      </c>
      <c r="D132" s="7"/>
      <c r="E132" s="7" t="s">
        <v>686</v>
      </c>
      <c r="F132" s="7" t="str">
        <f t="shared" si="4"/>
        <v>F_131.png</v>
      </c>
      <c r="G132" s="7" t="s">
        <v>327</v>
      </c>
      <c r="H132" s="7" t="s">
        <v>182</v>
      </c>
      <c r="I132" s="6">
        <v>6</v>
      </c>
      <c r="J132" s="6">
        <v>24</v>
      </c>
    </row>
    <row r="133" spans="1:10" ht="22.5" customHeight="1" x14ac:dyDescent="0.5">
      <c r="A133" s="12" t="s">
        <v>687</v>
      </c>
      <c r="B133" s="12" t="s">
        <v>688</v>
      </c>
      <c r="C133" s="12" t="s">
        <v>689</v>
      </c>
      <c r="D133" s="12"/>
      <c r="E133" s="12" t="s">
        <v>690</v>
      </c>
      <c r="F133" s="7" t="str">
        <f t="shared" si="4"/>
        <v>F_132.png</v>
      </c>
      <c r="G133" s="12" t="s">
        <v>327</v>
      </c>
      <c r="H133" s="12" t="s">
        <v>188</v>
      </c>
      <c r="I133" s="11">
        <v>5</v>
      </c>
      <c r="J133" s="11">
        <v>23</v>
      </c>
    </row>
    <row r="134" spans="1:10" ht="22.5" customHeight="1" x14ac:dyDescent="0.5">
      <c r="A134" s="7" t="s">
        <v>691</v>
      </c>
      <c r="B134" s="7" t="s">
        <v>692</v>
      </c>
      <c r="C134" s="7" t="s">
        <v>693</v>
      </c>
      <c r="D134" s="7"/>
      <c r="E134" s="7" t="s">
        <v>694</v>
      </c>
      <c r="F134" s="7" t="str">
        <f t="shared" si="4"/>
        <v>F_133.png</v>
      </c>
      <c r="G134" s="7" t="s">
        <v>327</v>
      </c>
      <c r="H134" s="7" t="s">
        <v>188</v>
      </c>
      <c r="I134" s="6">
        <v>6</v>
      </c>
      <c r="J134" s="6">
        <v>24</v>
      </c>
    </row>
    <row r="135" spans="1:10" ht="22.5" customHeight="1" x14ac:dyDescent="0.5">
      <c r="A135" s="12" t="s">
        <v>695</v>
      </c>
      <c r="B135" s="12" t="s">
        <v>696</v>
      </c>
      <c r="C135" s="12" t="s">
        <v>697</v>
      </c>
      <c r="D135" s="12"/>
      <c r="E135" s="12" t="str">
        <f ca="1">IFERROR(__xludf.DUMMYFUNCTION("AI(""copy the emoji in column A and paste it here"")"),"🦉")</f>
        <v>🦉</v>
      </c>
      <c r="F135" s="7" t="str">
        <f t="shared" si="4"/>
        <v>F_134.png</v>
      </c>
      <c r="G135" s="12" t="s">
        <v>187</v>
      </c>
      <c r="H135" s="12" t="s">
        <v>188</v>
      </c>
      <c r="I135" s="11">
        <v>5</v>
      </c>
      <c r="J135" s="11">
        <v>22</v>
      </c>
    </row>
    <row r="136" spans="1:10" ht="22.5" customHeight="1" x14ac:dyDescent="0.5">
      <c r="A136" s="7" t="s">
        <v>698</v>
      </c>
      <c r="B136" s="7" t="s">
        <v>699</v>
      </c>
      <c r="C136" s="7" t="s">
        <v>700</v>
      </c>
      <c r="D136" s="7"/>
      <c r="E136" s="7" t="str">
        <f ca="1">IFERROR(__xludf.DUMMYFUNCTION("AI(""copy the emoji in column A and paste it here"")"),"🐨")</f>
        <v>🐨</v>
      </c>
      <c r="F136" s="7" t="str">
        <f t="shared" si="4"/>
        <v>F_135.png</v>
      </c>
      <c r="G136" s="7" t="s">
        <v>187</v>
      </c>
      <c r="H136" s="7" t="s">
        <v>188</v>
      </c>
      <c r="I136" s="6">
        <v>5</v>
      </c>
      <c r="J136" s="6">
        <v>24</v>
      </c>
    </row>
    <row r="137" spans="1:10" ht="22.5" customHeight="1" x14ac:dyDescent="0.5">
      <c r="A137" s="12" t="s">
        <v>701</v>
      </c>
      <c r="B137" s="12" t="s">
        <v>702</v>
      </c>
      <c r="C137" s="12" t="s">
        <v>703</v>
      </c>
      <c r="D137" s="12"/>
      <c r="E137" s="12" t="s">
        <v>704</v>
      </c>
      <c r="F137" s="7" t="str">
        <f t="shared" si="4"/>
        <v>F_136.png</v>
      </c>
      <c r="G137" s="12" t="s">
        <v>510</v>
      </c>
      <c r="H137" s="12" t="s">
        <v>188</v>
      </c>
      <c r="I137" s="11">
        <v>5</v>
      </c>
      <c r="J137" s="11">
        <v>22</v>
      </c>
    </row>
    <row r="138" spans="1:10" ht="22.5" customHeight="1" x14ac:dyDescent="0.5">
      <c r="A138" s="7" t="s">
        <v>705</v>
      </c>
      <c r="B138" s="7" t="s">
        <v>706</v>
      </c>
      <c r="C138" s="7" t="s">
        <v>707</v>
      </c>
      <c r="D138" s="7"/>
      <c r="E138" s="7" t="s">
        <v>708</v>
      </c>
      <c r="F138" s="7" t="str">
        <f t="shared" si="4"/>
        <v>F_137.png</v>
      </c>
      <c r="G138" s="7" t="s">
        <v>263</v>
      </c>
      <c r="H138" s="7" t="s">
        <v>182</v>
      </c>
      <c r="I138" s="6">
        <v>5</v>
      </c>
      <c r="J138" s="6">
        <v>28</v>
      </c>
    </row>
    <row r="139" spans="1:10" ht="22.5" customHeight="1" x14ac:dyDescent="0.5">
      <c r="A139" s="12" t="s">
        <v>709</v>
      </c>
      <c r="B139" s="12" t="s">
        <v>710</v>
      </c>
      <c r="C139" s="12" t="s">
        <v>711</v>
      </c>
      <c r="D139" s="12"/>
      <c r="E139" s="12" t="str">
        <f ca="1">IFERROR(__xludf.DUMMYFUNCTION("AI(""copy the emoji in column A and paste it here"")"),"🧑‍⚖️")</f>
        <v>🧑‍⚖️</v>
      </c>
      <c r="F139" s="7" t="str">
        <f t="shared" si="4"/>
        <v>F_138.png</v>
      </c>
      <c r="G139" s="12" t="s">
        <v>643</v>
      </c>
      <c r="H139" s="12" t="s">
        <v>188</v>
      </c>
      <c r="I139" s="11">
        <v>5</v>
      </c>
      <c r="J139" s="11">
        <v>25</v>
      </c>
    </row>
    <row r="140" spans="1:10" ht="22.5" customHeight="1" x14ac:dyDescent="0.5">
      <c r="A140" s="7" t="s">
        <v>712</v>
      </c>
      <c r="B140" s="7" t="s">
        <v>713</v>
      </c>
      <c r="C140" s="7" t="s">
        <v>714</v>
      </c>
      <c r="D140" s="7"/>
      <c r="E140" s="7" t="s">
        <v>715</v>
      </c>
      <c r="F140" s="7" t="str">
        <f t="shared" si="4"/>
        <v>F_139.png</v>
      </c>
      <c r="G140" s="7" t="s">
        <v>327</v>
      </c>
      <c r="H140" s="7" t="s">
        <v>188</v>
      </c>
      <c r="I140" s="6">
        <v>4</v>
      </c>
      <c r="J140" s="6">
        <v>24</v>
      </c>
    </row>
    <row r="141" spans="1:10" ht="22.5" customHeight="1" x14ac:dyDescent="0.5">
      <c r="A141" s="12" t="s">
        <v>716</v>
      </c>
      <c r="B141" s="12" t="s">
        <v>717</v>
      </c>
      <c r="C141" s="12" t="s">
        <v>718</v>
      </c>
      <c r="D141" s="12"/>
      <c r="E141" s="12" t="str">
        <f ca="1">IFERROR(__xludf.DUMMYFUNCTION("AI(""copy the emoji in column A and paste it here"")"),"👸")</f>
        <v>👸</v>
      </c>
      <c r="F141" s="7" t="str">
        <f t="shared" si="4"/>
        <v>F_140.png</v>
      </c>
      <c r="G141" s="12" t="s">
        <v>639</v>
      </c>
      <c r="H141" s="12" t="s">
        <v>188</v>
      </c>
      <c r="I141" s="11">
        <v>6</v>
      </c>
      <c r="J141" s="11">
        <v>24</v>
      </c>
    </row>
    <row r="142" spans="1:10" ht="22.5" customHeight="1" x14ac:dyDescent="0.5">
      <c r="A142" s="7" t="s">
        <v>719</v>
      </c>
      <c r="B142" s="7" t="s">
        <v>720</v>
      </c>
      <c r="C142" s="7" t="s">
        <v>721</v>
      </c>
      <c r="D142" s="7"/>
      <c r="E142" s="7" t="s">
        <v>722</v>
      </c>
      <c r="F142" s="7" t="str">
        <f t="shared" si="4"/>
        <v>F_141.png</v>
      </c>
      <c r="G142" s="7" t="s">
        <v>327</v>
      </c>
      <c r="H142" s="7" t="s">
        <v>188</v>
      </c>
      <c r="I142" s="6">
        <v>5</v>
      </c>
      <c r="J142" s="6">
        <v>22</v>
      </c>
    </row>
    <row r="143" spans="1:10" ht="22.5" customHeight="1" x14ac:dyDescent="0.5">
      <c r="A143" s="12" t="s">
        <v>94</v>
      </c>
      <c r="B143" s="12" t="s">
        <v>723</v>
      </c>
      <c r="C143" s="12" t="s">
        <v>724</v>
      </c>
      <c r="D143" s="12"/>
      <c r="E143" s="12" t="s">
        <v>725</v>
      </c>
      <c r="F143" s="7" t="str">
        <f t="shared" si="4"/>
        <v>F_142.png</v>
      </c>
      <c r="G143" s="12" t="s">
        <v>287</v>
      </c>
      <c r="H143" s="12" t="s">
        <v>188</v>
      </c>
      <c r="I143" s="11">
        <v>5</v>
      </c>
      <c r="J143" s="11">
        <v>22</v>
      </c>
    </row>
    <row r="144" spans="1:10" ht="22.5" customHeight="1" x14ac:dyDescent="0.5">
      <c r="A144" s="7" t="s">
        <v>726</v>
      </c>
      <c r="B144" s="7" t="s">
        <v>727</v>
      </c>
      <c r="C144" s="7" t="s">
        <v>728</v>
      </c>
      <c r="D144" s="7"/>
      <c r="E144" s="7" t="str">
        <f ca="1">IFERROR(__xludf.DUMMYFUNCTION("AI(""copy the emoji in column A and paste it here"")"),"🧜‍♀️")</f>
        <v>🧜‍♀️</v>
      </c>
      <c r="F144" s="7" t="str">
        <f t="shared" si="4"/>
        <v>F_143.png</v>
      </c>
      <c r="G144" s="7" t="s">
        <v>639</v>
      </c>
      <c r="H144" s="7" t="s">
        <v>188</v>
      </c>
      <c r="I144" s="6">
        <v>5</v>
      </c>
      <c r="J144" s="6">
        <v>25</v>
      </c>
    </row>
    <row r="145" spans="1:10" ht="22.5" customHeight="1" x14ac:dyDescent="0.5">
      <c r="A145" s="12" t="s">
        <v>729</v>
      </c>
      <c r="B145" s="12" t="s">
        <v>730</v>
      </c>
      <c r="C145" s="21" t="s">
        <v>803</v>
      </c>
      <c r="D145" s="12" t="s">
        <v>804</v>
      </c>
      <c r="E145" s="12" t="s">
        <v>731</v>
      </c>
      <c r="F145" s="7" t="str">
        <f t="shared" si="4"/>
        <v>F_144.png</v>
      </c>
      <c r="G145" s="12" t="s">
        <v>187</v>
      </c>
      <c r="H145" s="12" t="s">
        <v>188</v>
      </c>
      <c r="I145" s="11">
        <v>6</v>
      </c>
      <c r="J145" s="11">
        <v>25</v>
      </c>
    </row>
    <row r="146" spans="1:10" ht="22.5" customHeight="1" x14ac:dyDescent="0.5">
      <c r="A146" s="7" t="s">
        <v>732</v>
      </c>
      <c r="B146" s="7" t="s">
        <v>733</v>
      </c>
      <c r="C146" s="7" t="s">
        <v>734</v>
      </c>
      <c r="D146" s="7"/>
      <c r="E146" s="7" t="s">
        <v>735</v>
      </c>
      <c r="F146" s="7" t="str">
        <f t="shared" si="4"/>
        <v>F_145.png</v>
      </c>
      <c r="G146" s="7" t="s">
        <v>287</v>
      </c>
      <c r="H146" s="7" t="s">
        <v>188</v>
      </c>
      <c r="I146" s="6">
        <v>5</v>
      </c>
      <c r="J146" s="6">
        <v>22</v>
      </c>
    </row>
    <row r="147" spans="1:10" ht="22.5" customHeight="1" x14ac:dyDescent="0.5">
      <c r="A147" s="12" t="s">
        <v>736</v>
      </c>
      <c r="B147" s="12" t="s">
        <v>737</v>
      </c>
      <c r="C147" s="12" t="s">
        <v>738</v>
      </c>
      <c r="D147" s="12"/>
      <c r="E147" s="12" t="s">
        <v>739</v>
      </c>
      <c r="F147" s="7" t="str">
        <f t="shared" si="4"/>
        <v>F_146.png</v>
      </c>
      <c r="G147" s="12" t="s">
        <v>258</v>
      </c>
      <c r="H147" s="12" t="s">
        <v>188</v>
      </c>
      <c r="I147" s="11">
        <v>6</v>
      </c>
      <c r="J147" s="11">
        <v>26</v>
      </c>
    </row>
    <row r="148" spans="1:10" ht="22.5" customHeight="1" x14ac:dyDescent="0.5">
      <c r="A148" s="7" t="s">
        <v>740</v>
      </c>
      <c r="B148" s="7" t="s">
        <v>741</v>
      </c>
      <c r="C148" s="7" t="s">
        <v>742</v>
      </c>
      <c r="D148" s="7"/>
      <c r="E148" s="7" t="s">
        <v>743</v>
      </c>
      <c r="F148" s="7" t="str">
        <f t="shared" si="4"/>
        <v>F_147.png</v>
      </c>
      <c r="G148" s="7" t="s">
        <v>187</v>
      </c>
      <c r="H148" s="7" t="s">
        <v>188</v>
      </c>
      <c r="I148" s="6">
        <v>6</v>
      </c>
      <c r="J148" s="6">
        <v>23</v>
      </c>
    </row>
    <row r="149" spans="1:10" ht="22.5" customHeight="1" x14ac:dyDescent="0.5">
      <c r="A149" s="12" t="s">
        <v>744</v>
      </c>
      <c r="B149" s="12" t="s">
        <v>745</v>
      </c>
      <c r="C149" s="12" t="s">
        <v>746</v>
      </c>
      <c r="D149" s="12"/>
      <c r="E149" s="12" t="s">
        <v>747</v>
      </c>
      <c r="F149" s="7" t="str">
        <f t="shared" si="4"/>
        <v>F_148.png</v>
      </c>
      <c r="G149" s="12" t="s">
        <v>187</v>
      </c>
      <c r="H149" s="12" t="s">
        <v>182</v>
      </c>
      <c r="I149" s="11">
        <v>6</v>
      </c>
      <c r="J149" s="11">
        <v>25</v>
      </c>
    </row>
    <row r="150" spans="1:10" ht="22.5" customHeight="1" x14ac:dyDescent="0.5">
      <c r="A150" s="7" t="s">
        <v>748</v>
      </c>
      <c r="B150" s="7" t="s">
        <v>749</v>
      </c>
      <c r="C150" s="7" t="s">
        <v>750</v>
      </c>
      <c r="D150" s="7"/>
      <c r="E150" s="7" t="s">
        <v>751</v>
      </c>
      <c r="F150" s="7" t="str">
        <f t="shared" si="4"/>
        <v>F_149.png</v>
      </c>
      <c r="G150" s="7" t="s">
        <v>187</v>
      </c>
      <c r="H150" s="7" t="s">
        <v>182</v>
      </c>
      <c r="I150" s="6">
        <v>5</v>
      </c>
      <c r="J150" s="6">
        <v>22</v>
      </c>
    </row>
    <row r="151" spans="1:10" ht="22.5" customHeight="1" x14ac:dyDescent="0.5">
      <c r="A151" s="12" t="s">
        <v>752</v>
      </c>
      <c r="B151" s="12" t="s">
        <v>753</v>
      </c>
      <c r="C151" s="12" t="s">
        <v>754</v>
      </c>
      <c r="D151" s="12"/>
      <c r="E151" s="12" t="s">
        <v>755</v>
      </c>
      <c r="F151" s="7" t="str">
        <f t="shared" si="4"/>
        <v>F_150.png</v>
      </c>
      <c r="G151" s="12" t="s">
        <v>187</v>
      </c>
      <c r="H151" s="12" t="s">
        <v>188</v>
      </c>
      <c r="I151" s="11">
        <v>6</v>
      </c>
      <c r="J151" s="11">
        <v>25</v>
      </c>
    </row>
    <row r="152" spans="1:10" ht="22.5" customHeight="1" x14ac:dyDescent="0.5">
      <c r="A152" s="7" t="s">
        <v>756</v>
      </c>
      <c r="B152" s="7" t="s">
        <v>757</v>
      </c>
      <c r="C152" s="7" t="s">
        <v>758</v>
      </c>
      <c r="D152" s="7"/>
      <c r="E152" s="7" t="s">
        <v>759</v>
      </c>
      <c r="F152" s="7" t="str">
        <f t="shared" si="4"/>
        <v>F_151.png</v>
      </c>
      <c r="G152" s="7" t="s">
        <v>793</v>
      </c>
      <c r="H152" s="7" t="s">
        <v>188</v>
      </c>
      <c r="I152" s="6">
        <v>5</v>
      </c>
      <c r="J152" s="6">
        <v>25</v>
      </c>
    </row>
    <row r="153" spans="1:10" ht="22.5" customHeight="1" x14ac:dyDescent="0.5">
      <c r="A153" s="12" t="s">
        <v>760</v>
      </c>
      <c r="B153" s="12" t="s">
        <v>761</v>
      </c>
      <c r="C153" s="12" t="s">
        <v>762</v>
      </c>
      <c r="D153" s="12"/>
      <c r="E153" s="12" t="s">
        <v>763</v>
      </c>
      <c r="F153" s="7" t="str">
        <f t="shared" si="4"/>
        <v>F_152.png</v>
      </c>
      <c r="G153" s="12" t="s">
        <v>764</v>
      </c>
      <c r="H153" s="12" t="s">
        <v>188</v>
      </c>
      <c r="I153" s="11">
        <v>4</v>
      </c>
      <c r="J153" s="11">
        <v>25</v>
      </c>
    </row>
    <row r="154" spans="1:10" ht="22.5" customHeight="1" x14ac:dyDescent="0.5">
      <c r="A154" s="7" t="s">
        <v>97</v>
      </c>
      <c r="B154" s="7" t="s">
        <v>765</v>
      </c>
      <c r="C154" s="7" t="s">
        <v>766</v>
      </c>
      <c r="D154" s="7"/>
      <c r="E154" s="7" t="s">
        <v>767</v>
      </c>
      <c r="F154" s="7" t="str">
        <f t="shared" si="4"/>
        <v>F_153.png</v>
      </c>
      <c r="G154" s="7" t="s">
        <v>327</v>
      </c>
      <c r="H154" s="7" t="s">
        <v>188</v>
      </c>
      <c r="I154" s="6">
        <v>6</v>
      </c>
      <c r="J154" s="6">
        <v>25</v>
      </c>
    </row>
    <row r="155" spans="1:10" ht="22.5" customHeight="1" x14ac:dyDescent="0.5">
      <c r="A155" s="12" t="s">
        <v>100</v>
      </c>
      <c r="B155" s="12" t="s">
        <v>768</v>
      </c>
      <c r="C155" s="21" t="s">
        <v>797</v>
      </c>
      <c r="D155" s="12" t="s">
        <v>805</v>
      </c>
      <c r="E155" s="12" t="s">
        <v>769</v>
      </c>
      <c r="F155" s="7" t="str">
        <f t="shared" si="4"/>
        <v>F_154.png</v>
      </c>
      <c r="G155" s="12" t="s">
        <v>327</v>
      </c>
      <c r="H155" s="12" t="s">
        <v>188</v>
      </c>
      <c r="I155" s="11">
        <v>5</v>
      </c>
      <c r="J155" s="11">
        <v>22</v>
      </c>
    </row>
    <row r="156" spans="1:10" ht="22.5" customHeight="1" x14ac:dyDescent="0.5">
      <c r="A156" s="7" t="s">
        <v>770</v>
      </c>
      <c r="B156" s="7" t="s">
        <v>771</v>
      </c>
      <c r="C156" s="7" t="s">
        <v>772</v>
      </c>
      <c r="D156" s="7"/>
      <c r="E156" s="7" t="s">
        <v>773</v>
      </c>
      <c r="F156" s="7" t="str">
        <f t="shared" si="4"/>
        <v>F_155.png</v>
      </c>
      <c r="G156" s="7" t="s">
        <v>239</v>
      </c>
      <c r="H156" s="7" t="s">
        <v>188</v>
      </c>
      <c r="I156" s="6">
        <v>6</v>
      </c>
      <c r="J156" s="6">
        <v>24</v>
      </c>
    </row>
    <row r="157" spans="1:10" ht="22.5" customHeight="1" x14ac:dyDescent="0.5">
      <c r="A157" s="12" t="s">
        <v>774</v>
      </c>
      <c r="B157" s="12" t="s">
        <v>775</v>
      </c>
      <c r="C157" s="12" t="s">
        <v>776</v>
      </c>
      <c r="D157" s="12"/>
      <c r="E157" s="12" t="s">
        <v>777</v>
      </c>
      <c r="F157" s="7" t="str">
        <f t="shared" si="4"/>
        <v>F_156.png</v>
      </c>
      <c r="G157" s="12" t="s">
        <v>327</v>
      </c>
      <c r="H157" s="12" t="s">
        <v>188</v>
      </c>
      <c r="I157" s="11">
        <v>6</v>
      </c>
      <c r="J157" s="11">
        <v>22</v>
      </c>
    </row>
    <row r="158" spans="1:10" ht="22.5" customHeight="1" x14ac:dyDescent="0.5">
      <c r="A158" s="7" t="s">
        <v>778</v>
      </c>
      <c r="B158" s="7" t="s">
        <v>779</v>
      </c>
      <c r="C158" s="7" t="s">
        <v>780</v>
      </c>
      <c r="D158" s="7"/>
      <c r="E158" s="7" t="s">
        <v>781</v>
      </c>
      <c r="F158" s="7" t="str">
        <f t="shared" si="4"/>
        <v>F_157.png</v>
      </c>
      <c r="G158" s="7" t="s">
        <v>782</v>
      </c>
      <c r="H158" s="7" t="s">
        <v>188</v>
      </c>
      <c r="I158" s="6">
        <v>5</v>
      </c>
      <c r="J158" s="6">
        <v>22</v>
      </c>
    </row>
    <row r="159" spans="1:10" ht="22.5" customHeight="1" x14ac:dyDescent="0.5">
      <c r="A159" s="12" t="s">
        <v>103</v>
      </c>
      <c r="B159" s="12" t="s">
        <v>783</v>
      </c>
      <c r="C159" s="12" t="s">
        <v>784</v>
      </c>
      <c r="D159" s="12"/>
      <c r="E159" s="12" t="s">
        <v>785</v>
      </c>
      <c r="F159" s="7" t="str">
        <f t="shared" si="4"/>
        <v>F_158.png</v>
      </c>
      <c r="G159" s="12" t="s">
        <v>327</v>
      </c>
      <c r="H159" s="12" t="s">
        <v>188</v>
      </c>
      <c r="I159" s="11">
        <v>5</v>
      </c>
      <c r="J159" s="11">
        <v>24</v>
      </c>
    </row>
    <row r="160" spans="1:10" ht="22.5" customHeight="1" x14ac:dyDescent="0.5">
      <c r="A160" s="7" t="s">
        <v>106</v>
      </c>
      <c r="B160" s="7" t="s">
        <v>786</v>
      </c>
      <c r="C160" s="7" t="s">
        <v>787</v>
      </c>
      <c r="D160" s="7"/>
      <c r="E160" s="7" t="s">
        <v>788</v>
      </c>
      <c r="F160" s="7" t="str">
        <f t="shared" si="4"/>
        <v>F_159.png</v>
      </c>
      <c r="G160" s="7" t="s">
        <v>764</v>
      </c>
      <c r="H160" s="7" t="s">
        <v>188</v>
      </c>
      <c r="I160" s="6">
        <v>5</v>
      </c>
      <c r="J160" s="6">
        <v>25</v>
      </c>
    </row>
    <row r="161" spans="1:10" ht="22.5" customHeight="1" x14ac:dyDescent="0.5">
      <c r="A161" s="12" t="s">
        <v>789</v>
      </c>
      <c r="B161" s="12" t="s">
        <v>790</v>
      </c>
      <c r="C161" s="12" t="s">
        <v>791</v>
      </c>
      <c r="D161" s="12"/>
      <c r="E161" s="12" t="s">
        <v>792</v>
      </c>
      <c r="F161" s="7" t="str">
        <f t="shared" si="4"/>
        <v>F_160.png</v>
      </c>
      <c r="G161" s="12" t="s">
        <v>782</v>
      </c>
      <c r="H161" s="12" t="s">
        <v>188</v>
      </c>
      <c r="I161" s="11">
        <v>6</v>
      </c>
      <c r="J161" s="11">
        <v>22</v>
      </c>
    </row>
    <row r="164" spans="1:10" x14ac:dyDescent="0.3">
      <c r="D164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B124"/>
  <sheetViews>
    <sheetView workbookViewId="0">
      <pane ySplit="1" topLeftCell="A2" activePane="bottomLeft" state="frozen"/>
      <selection pane="bottomLeft" activeCell="C100" sqref="C100"/>
    </sheetView>
  </sheetViews>
  <sheetFormatPr defaultRowHeight="14.4" x14ac:dyDescent="0.3"/>
  <cols>
    <col min="1" max="1" width="14.33203125" style="13" bestFit="1" customWidth="1"/>
    <col min="2" max="2" width="14.33203125" style="14" bestFit="1" customWidth="1"/>
    <col min="3" max="3" width="21.109375" customWidth="1"/>
    <col min="4" max="4" width="60" bestFit="1" customWidth="1"/>
    <col min="5" max="5" width="67.33203125" style="15" bestFit="1" customWidth="1"/>
    <col min="6" max="10" width="10.33203125" style="15" bestFit="1" customWidth="1"/>
    <col min="11" max="27" width="13.5546875" bestFit="1" customWidth="1"/>
  </cols>
  <sheetData>
    <row r="1" spans="1:28" ht="22.5" customHeight="1" x14ac:dyDescent="0.5">
      <c r="A1" s="1" t="s">
        <v>0</v>
      </c>
      <c r="B1" s="2" t="s">
        <v>1</v>
      </c>
      <c r="C1" s="19" t="s">
        <v>794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2.5" customHeight="1" x14ac:dyDescent="0.5">
      <c r="A2" s="6">
        <v>1</v>
      </c>
      <c r="B2" s="7" t="s">
        <v>10</v>
      </c>
      <c r="C2" s="7" t="s">
        <v>188</v>
      </c>
      <c r="D2" s="8" t="s">
        <v>11</v>
      </c>
      <c r="E2" s="8" t="s">
        <v>12</v>
      </c>
      <c r="F2" s="9"/>
      <c r="G2" s="10" t="s">
        <v>13</v>
      </c>
      <c r="H2" s="9"/>
      <c r="I2" s="9"/>
      <c r="J2" s="10" t="s">
        <v>13</v>
      </c>
      <c r="K2" s="9"/>
    </row>
    <row r="3" spans="1:28" ht="22.5" customHeight="1" x14ac:dyDescent="0.5">
      <c r="A3" s="11">
        <v>1</v>
      </c>
      <c r="B3" s="12" t="s">
        <v>14</v>
      </c>
      <c r="C3" s="12" t="s">
        <v>188</v>
      </c>
      <c r="D3" s="8" t="s">
        <v>11</v>
      </c>
      <c r="E3" s="8" t="s">
        <v>15</v>
      </c>
      <c r="F3" s="10" t="s">
        <v>16</v>
      </c>
      <c r="G3" s="9"/>
      <c r="H3" s="9"/>
      <c r="I3" s="9"/>
      <c r="J3" s="9"/>
      <c r="K3" s="10" t="s">
        <v>16</v>
      </c>
    </row>
    <row r="4" spans="1:28" ht="22.5" customHeight="1" x14ac:dyDescent="0.5">
      <c r="A4" s="6">
        <v>1</v>
      </c>
      <c r="B4" s="7" t="s">
        <v>17</v>
      </c>
      <c r="C4" s="7" t="s">
        <v>188</v>
      </c>
      <c r="D4" s="8" t="s">
        <v>11</v>
      </c>
      <c r="E4" s="8" t="s">
        <v>12</v>
      </c>
      <c r="F4" s="9"/>
      <c r="G4" s="9"/>
      <c r="H4" s="10" t="s">
        <v>13</v>
      </c>
      <c r="I4" s="10" t="s">
        <v>13</v>
      </c>
      <c r="J4" s="9"/>
      <c r="K4" s="9"/>
    </row>
    <row r="5" spans="1:28" ht="22.5" customHeight="1" x14ac:dyDescent="0.5">
      <c r="A5" s="11">
        <v>2</v>
      </c>
      <c r="B5" s="12" t="s">
        <v>10</v>
      </c>
      <c r="C5" s="12" t="s">
        <v>188</v>
      </c>
      <c r="D5" s="8" t="s">
        <v>18</v>
      </c>
      <c r="E5" s="8" t="s">
        <v>19</v>
      </c>
      <c r="F5" s="10" t="s">
        <v>13</v>
      </c>
      <c r="G5" s="9"/>
      <c r="H5" s="9"/>
      <c r="I5" s="9"/>
      <c r="J5" s="9"/>
      <c r="K5" s="10" t="s">
        <v>13</v>
      </c>
    </row>
    <row r="6" spans="1:28" ht="22.5" customHeight="1" x14ac:dyDescent="0.5">
      <c r="A6" s="6">
        <v>2</v>
      </c>
      <c r="B6" s="7" t="s">
        <v>14</v>
      </c>
      <c r="C6" s="7" t="s">
        <v>188</v>
      </c>
      <c r="D6" s="8" t="s">
        <v>18</v>
      </c>
      <c r="E6" s="8" t="s">
        <v>19</v>
      </c>
      <c r="F6" s="9"/>
      <c r="G6" s="9"/>
      <c r="H6" s="10" t="s">
        <v>16</v>
      </c>
      <c r="I6" s="10" t="s">
        <v>16</v>
      </c>
      <c r="J6" s="9"/>
      <c r="K6" s="9"/>
    </row>
    <row r="7" spans="1:28" ht="22.5" customHeight="1" x14ac:dyDescent="0.5">
      <c r="A7" s="11">
        <v>2</v>
      </c>
      <c r="B7" s="12" t="s">
        <v>17</v>
      </c>
      <c r="C7" s="12" t="s">
        <v>188</v>
      </c>
      <c r="D7" s="8" t="s">
        <v>18</v>
      </c>
      <c r="E7" s="8" t="s">
        <v>19</v>
      </c>
      <c r="F7" s="9"/>
      <c r="G7" s="10" t="s">
        <v>13</v>
      </c>
      <c r="H7" s="9"/>
      <c r="I7" s="9"/>
      <c r="J7" s="10" t="s">
        <v>13</v>
      </c>
      <c r="K7" s="9"/>
    </row>
    <row r="8" spans="1:28" ht="22.5" customHeight="1" x14ac:dyDescent="0.5">
      <c r="A8" s="6">
        <v>7</v>
      </c>
      <c r="B8" s="7" t="s">
        <v>10</v>
      </c>
      <c r="C8" s="7" t="s">
        <v>188</v>
      </c>
      <c r="D8" s="8" t="s">
        <v>20</v>
      </c>
      <c r="E8" s="8" t="s">
        <v>21</v>
      </c>
      <c r="F8" s="9"/>
      <c r="G8" s="9"/>
      <c r="H8" s="10" t="s">
        <v>13</v>
      </c>
      <c r="I8" s="10" t="s">
        <v>13</v>
      </c>
      <c r="J8" s="9"/>
      <c r="K8" s="9"/>
    </row>
    <row r="9" spans="1:28" ht="22.5" customHeight="1" x14ac:dyDescent="0.5">
      <c r="A9" s="11">
        <v>7</v>
      </c>
      <c r="B9" s="12" t="s">
        <v>14</v>
      </c>
      <c r="C9" s="12" t="s">
        <v>188</v>
      </c>
      <c r="D9" s="8" t="s">
        <v>20</v>
      </c>
      <c r="E9" s="8" t="s">
        <v>21</v>
      </c>
      <c r="F9" s="9"/>
      <c r="G9" s="10" t="s">
        <v>16</v>
      </c>
      <c r="H9" s="9"/>
      <c r="I9" s="9"/>
      <c r="J9" s="10" t="s">
        <v>16</v>
      </c>
      <c r="K9" s="9"/>
    </row>
    <row r="10" spans="1:28" ht="22.5" customHeight="1" x14ac:dyDescent="0.5">
      <c r="A10" s="6">
        <v>7</v>
      </c>
      <c r="B10" s="7" t="s">
        <v>17</v>
      </c>
      <c r="C10" s="7" t="s">
        <v>188</v>
      </c>
      <c r="D10" s="8" t="s">
        <v>20</v>
      </c>
      <c r="E10" s="8" t="s">
        <v>21</v>
      </c>
      <c r="F10" s="10" t="s">
        <v>13</v>
      </c>
      <c r="G10" s="9"/>
      <c r="H10" s="9"/>
      <c r="I10" s="9"/>
      <c r="J10" s="9"/>
      <c r="K10" s="10" t="s">
        <v>13</v>
      </c>
    </row>
    <row r="11" spans="1:28" ht="22.5" customHeight="1" x14ac:dyDescent="0.5">
      <c r="A11" s="11">
        <v>10</v>
      </c>
      <c r="B11" s="12" t="s">
        <v>10</v>
      </c>
      <c r="C11" s="12" t="s">
        <v>188</v>
      </c>
      <c r="D11" s="8" t="s">
        <v>22</v>
      </c>
      <c r="E11" s="8" t="s">
        <v>23</v>
      </c>
      <c r="F11" s="9"/>
      <c r="G11" s="9"/>
      <c r="H11" s="10" t="s">
        <v>13</v>
      </c>
      <c r="I11" s="10" t="s">
        <v>13</v>
      </c>
      <c r="J11" s="9"/>
      <c r="K11" s="9"/>
    </row>
    <row r="12" spans="1:28" ht="22.5" customHeight="1" x14ac:dyDescent="0.5">
      <c r="A12" s="6">
        <v>10</v>
      </c>
      <c r="B12" s="7" t="s">
        <v>14</v>
      </c>
      <c r="C12" s="7" t="s">
        <v>188</v>
      </c>
      <c r="D12" s="8" t="s">
        <v>22</v>
      </c>
      <c r="E12" s="8" t="s">
        <v>23</v>
      </c>
      <c r="F12" s="9"/>
      <c r="G12" s="10" t="s">
        <v>13</v>
      </c>
      <c r="H12" s="9"/>
      <c r="I12" s="9"/>
      <c r="J12" s="10" t="s">
        <v>13</v>
      </c>
      <c r="K12" s="9"/>
    </row>
    <row r="13" spans="1:28" ht="22.5" customHeight="1" x14ac:dyDescent="0.5">
      <c r="A13" s="11">
        <v>10</v>
      </c>
      <c r="B13" s="12" t="s">
        <v>17</v>
      </c>
      <c r="C13" s="12" t="s">
        <v>188</v>
      </c>
      <c r="D13" s="8" t="s">
        <v>22</v>
      </c>
      <c r="E13" s="8" t="s">
        <v>23</v>
      </c>
      <c r="F13" s="10" t="s">
        <v>13</v>
      </c>
      <c r="G13" s="9"/>
      <c r="H13" s="9"/>
      <c r="I13" s="9"/>
      <c r="J13" s="9"/>
      <c r="K13" s="10" t="s">
        <v>13</v>
      </c>
    </row>
    <row r="14" spans="1:28" ht="22.5" customHeight="1" x14ac:dyDescent="0.5">
      <c r="A14" s="6">
        <v>12</v>
      </c>
      <c r="B14" s="7" t="s">
        <v>10</v>
      </c>
      <c r="C14" s="7" t="s">
        <v>188</v>
      </c>
      <c r="D14" s="8" t="s">
        <v>24</v>
      </c>
      <c r="E14" s="8" t="s">
        <v>25</v>
      </c>
      <c r="F14" s="9"/>
      <c r="G14" s="10" t="s">
        <v>13</v>
      </c>
      <c r="H14" s="9"/>
      <c r="I14" s="9"/>
      <c r="J14" s="10" t="s">
        <v>13</v>
      </c>
      <c r="K14" s="9"/>
    </row>
    <row r="15" spans="1:28" ht="22.5" customHeight="1" x14ac:dyDescent="0.5">
      <c r="A15" s="11">
        <v>12</v>
      </c>
      <c r="B15" s="12" t="s">
        <v>14</v>
      </c>
      <c r="C15" s="12" t="s">
        <v>188</v>
      </c>
      <c r="D15" s="8" t="s">
        <v>24</v>
      </c>
      <c r="E15" s="8" t="s">
        <v>25</v>
      </c>
      <c r="F15" s="9"/>
      <c r="G15" s="9"/>
      <c r="H15" s="10" t="s">
        <v>16</v>
      </c>
      <c r="I15" s="10" t="s">
        <v>16</v>
      </c>
      <c r="J15" s="9"/>
      <c r="K15" s="9"/>
    </row>
    <row r="16" spans="1:28" ht="22.5" customHeight="1" x14ac:dyDescent="0.5">
      <c r="A16" s="6">
        <v>12</v>
      </c>
      <c r="B16" s="7" t="s">
        <v>17</v>
      </c>
      <c r="C16" s="7" t="s">
        <v>188</v>
      </c>
      <c r="D16" s="8" t="s">
        <v>24</v>
      </c>
      <c r="E16" s="8" t="s">
        <v>25</v>
      </c>
      <c r="F16" s="10" t="s">
        <v>13</v>
      </c>
      <c r="G16" s="9"/>
      <c r="H16" s="9"/>
      <c r="I16" s="9"/>
      <c r="J16" s="9"/>
      <c r="K16" s="10" t="s">
        <v>13</v>
      </c>
    </row>
    <row r="17" spans="1:11" ht="22.5" customHeight="1" x14ac:dyDescent="0.5">
      <c r="A17" s="11">
        <v>15</v>
      </c>
      <c r="B17" s="12" t="s">
        <v>10</v>
      </c>
      <c r="C17" s="12" t="s">
        <v>182</v>
      </c>
      <c r="D17" s="8" t="s">
        <v>26</v>
      </c>
      <c r="E17" s="8" t="s">
        <v>27</v>
      </c>
      <c r="F17" s="9"/>
      <c r="G17" s="9"/>
      <c r="H17" s="10" t="s">
        <v>16</v>
      </c>
      <c r="I17" s="10" t="s">
        <v>16</v>
      </c>
      <c r="J17" s="9"/>
      <c r="K17" s="9"/>
    </row>
    <row r="18" spans="1:11" ht="22.5" customHeight="1" x14ac:dyDescent="0.5">
      <c r="A18" s="6">
        <v>15</v>
      </c>
      <c r="B18" s="7" t="s">
        <v>14</v>
      </c>
      <c r="C18" s="7" t="s">
        <v>182</v>
      </c>
      <c r="D18" s="8" t="s">
        <v>26</v>
      </c>
      <c r="E18" s="8" t="s">
        <v>27</v>
      </c>
      <c r="F18" s="10" t="s">
        <v>16</v>
      </c>
      <c r="G18" s="9"/>
      <c r="H18" s="9"/>
      <c r="I18" s="9"/>
      <c r="J18" s="9"/>
      <c r="K18" s="10" t="s">
        <v>16</v>
      </c>
    </row>
    <row r="19" spans="1:11" ht="22.5" customHeight="1" x14ac:dyDescent="0.5">
      <c r="A19" s="11">
        <v>15</v>
      </c>
      <c r="B19" s="12" t="s">
        <v>17</v>
      </c>
      <c r="C19" s="12" t="s">
        <v>182</v>
      </c>
      <c r="D19" s="8" t="s">
        <v>26</v>
      </c>
      <c r="E19" s="8" t="s">
        <v>27</v>
      </c>
      <c r="F19" s="9"/>
      <c r="G19" s="10" t="s">
        <v>16</v>
      </c>
      <c r="H19" s="9"/>
      <c r="I19" s="9"/>
      <c r="J19" s="10" t="s">
        <v>16</v>
      </c>
      <c r="K19" s="9"/>
    </row>
    <row r="20" spans="1:11" ht="22.5" customHeight="1" x14ac:dyDescent="0.5">
      <c r="A20" s="6">
        <v>20</v>
      </c>
      <c r="B20" s="7" t="s">
        <v>10</v>
      </c>
      <c r="C20" s="7" t="s">
        <v>188</v>
      </c>
      <c r="D20" s="8" t="s">
        <v>28</v>
      </c>
      <c r="E20" s="8" t="s">
        <v>29</v>
      </c>
      <c r="F20" s="10" t="s">
        <v>13</v>
      </c>
      <c r="G20" s="9"/>
      <c r="H20" s="9"/>
      <c r="I20" s="9"/>
      <c r="J20" s="9"/>
      <c r="K20" s="10" t="s">
        <v>13</v>
      </c>
    </row>
    <row r="21" spans="1:11" ht="22.5" customHeight="1" x14ac:dyDescent="0.5">
      <c r="A21" s="11">
        <v>20</v>
      </c>
      <c r="B21" s="12" t="s">
        <v>14</v>
      </c>
      <c r="C21" s="12" t="s">
        <v>188</v>
      </c>
      <c r="D21" s="8" t="s">
        <v>28</v>
      </c>
      <c r="E21" s="8" t="s">
        <v>29</v>
      </c>
      <c r="F21" s="9"/>
      <c r="G21" s="9"/>
      <c r="H21" s="10" t="s">
        <v>16</v>
      </c>
      <c r="I21" s="10" t="s">
        <v>16</v>
      </c>
      <c r="J21" s="9"/>
      <c r="K21" s="9"/>
    </row>
    <row r="22" spans="1:11" ht="22.5" customHeight="1" x14ac:dyDescent="0.5">
      <c r="A22" s="6">
        <v>20</v>
      </c>
      <c r="B22" s="7" t="s">
        <v>17</v>
      </c>
      <c r="C22" s="7" t="s">
        <v>188</v>
      </c>
      <c r="D22" s="8" t="s">
        <v>28</v>
      </c>
      <c r="E22" s="8" t="s">
        <v>29</v>
      </c>
      <c r="F22" s="9"/>
      <c r="G22" s="10" t="s">
        <v>13</v>
      </c>
      <c r="H22" s="9"/>
      <c r="I22" s="9"/>
      <c r="J22" s="10" t="s">
        <v>13</v>
      </c>
      <c r="K22" s="9"/>
    </row>
    <row r="23" spans="1:11" ht="22.5" customHeight="1" x14ac:dyDescent="0.5">
      <c r="A23" s="11">
        <v>23</v>
      </c>
      <c r="B23" s="12" t="s">
        <v>10</v>
      </c>
      <c r="C23" s="12" t="s">
        <v>182</v>
      </c>
      <c r="D23" s="8" t="s">
        <v>30</v>
      </c>
      <c r="E23" s="8" t="s">
        <v>31</v>
      </c>
      <c r="F23" s="9"/>
      <c r="G23" s="10" t="s">
        <v>16</v>
      </c>
      <c r="H23" s="9"/>
      <c r="I23" s="9"/>
      <c r="J23" s="10" t="s">
        <v>16</v>
      </c>
      <c r="K23" s="9"/>
    </row>
    <row r="24" spans="1:11" ht="22.5" customHeight="1" x14ac:dyDescent="0.5">
      <c r="A24" s="6">
        <v>23</v>
      </c>
      <c r="B24" s="7" t="s">
        <v>14</v>
      </c>
      <c r="C24" s="7" t="s">
        <v>182</v>
      </c>
      <c r="D24" s="8" t="s">
        <v>30</v>
      </c>
      <c r="E24" s="8" t="s">
        <v>31</v>
      </c>
      <c r="F24" s="9"/>
      <c r="G24" s="9"/>
      <c r="H24" s="10" t="s">
        <v>13</v>
      </c>
      <c r="I24" s="10" t="s">
        <v>13</v>
      </c>
      <c r="J24" s="9"/>
      <c r="K24" s="9"/>
    </row>
    <row r="25" spans="1:11" ht="22.5" customHeight="1" x14ac:dyDescent="0.5">
      <c r="A25" s="11">
        <v>23</v>
      </c>
      <c r="B25" s="12" t="s">
        <v>17</v>
      </c>
      <c r="C25" s="12" t="s">
        <v>182</v>
      </c>
      <c r="D25" s="8" t="s">
        <v>30</v>
      </c>
      <c r="E25" s="8" t="s">
        <v>31</v>
      </c>
      <c r="F25" s="10" t="s">
        <v>13</v>
      </c>
      <c r="G25" s="9"/>
      <c r="H25" s="9"/>
      <c r="I25" s="9"/>
      <c r="J25" s="9"/>
      <c r="K25" s="10" t="s">
        <v>13</v>
      </c>
    </row>
    <row r="26" spans="1:11" ht="22.5" customHeight="1" x14ac:dyDescent="0.5">
      <c r="A26" s="6">
        <v>28</v>
      </c>
      <c r="B26" s="7" t="s">
        <v>10</v>
      </c>
      <c r="C26" s="7" t="s">
        <v>188</v>
      </c>
      <c r="D26" s="8" t="s">
        <v>32</v>
      </c>
      <c r="E26" s="8" t="s">
        <v>33</v>
      </c>
      <c r="F26" s="9"/>
      <c r="G26" s="9"/>
      <c r="H26" s="10" t="s">
        <v>13</v>
      </c>
      <c r="I26" s="10" t="s">
        <v>13</v>
      </c>
      <c r="J26" s="9"/>
      <c r="K26" s="9"/>
    </row>
    <row r="27" spans="1:11" ht="22.5" customHeight="1" x14ac:dyDescent="0.5">
      <c r="A27" s="11">
        <v>28</v>
      </c>
      <c r="B27" s="12" t="s">
        <v>14</v>
      </c>
      <c r="C27" s="12" t="s">
        <v>188</v>
      </c>
      <c r="D27" s="8" t="s">
        <v>32</v>
      </c>
      <c r="E27" s="8" t="s">
        <v>33</v>
      </c>
      <c r="F27" s="10" t="s">
        <v>16</v>
      </c>
      <c r="G27" s="9"/>
      <c r="H27" s="9"/>
      <c r="I27" s="9"/>
      <c r="J27" s="9"/>
      <c r="K27" s="10" t="s">
        <v>16</v>
      </c>
    </row>
    <row r="28" spans="1:11" ht="22.5" customHeight="1" x14ac:dyDescent="0.5">
      <c r="A28" s="6">
        <v>28</v>
      </c>
      <c r="B28" s="7" t="s">
        <v>17</v>
      </c>
      <c r="C28" s="7" t="s">
        <v>188</v>
      </c>
      <c r="D28" s="8" t="s">
        <v>32</v>
      </c>
      <c r="E28" s="8" t="s">
        <v>33</v>
      </c>
      <c r="F28" s="9"/>
      <c r="G28" s="10" t="s">
        <v>13</v>
      </c>
      <c r="H28" s="9"/>
      <c r="I28" s="9"/>
      <c r="J28" s="10" t="s">
        <v>13</v>
      </c>
      <c r="K28" s="9"/>
    </row>
    <row r="29" spans="1:11" ht="22.5" customHeight="1" x14ac:dyDescent="0.5">
      <c r="A29" s="11">
        <v>29</v>
      </c>
      <c r="B29" s="12" t="s">
        <v>10</v>
      </c>
      <c r="C29" s="12" t="s">
        <v>182</v>
      </c>
      <c r="D29" s="8" t="s">
        <v>34</v>
      </c>
      <c r="E29" s="8" t="s">
        <v>35</v>
      </c>
      <c r="F29" s="10" t="s">
        <v>13</v>
      </c>
      <c r="G29" s="9"/>
      <c r="H29" s="9"/>
      <c r="I29" s="9"/>
      <c r="J29" s="9"/>
      <c r="K29" s="10" t="s">
        <v>13</v>
      </c>
    </row>
    <row r="30" spans="1:11" ht="22.5" customHeight="1" x14ac:dyDescent="0.5">
      <c r="A30" s="6">
        <v>29</v>
      </c>
      <c r="B30" s="7" t="s">
        <v>14</v>
      </c>
      <c r="C30" s="7" t="s">
        <v>182</v>
      </c>
      <c r="D30" s="8" t="s">
        <v>34</v>
      </c>
      <c r="E30" s="8" t="s">
        <v>35</v>
      </c>
      <c r="F30" s="9"/>
      <c r="G30" s="10" t="s">
        <v>13</v>
      </c>
      <c r="H30" s="9"/>
      <c r="I30" s="9"/>
      <c r="J30" s="10" t="s">
        <v>13</v>
      </c>
      <c r="K30" s="9"/>
    </row>
    <row r="31" spans="1:11" ht="22.5" customHeight="1" x14ac:dyDescent="0.5">
      <c r="A31" s="11">
        <v>29</v>
      </c>
      <c r="B31" s="12" t="s">
        <v>17</v>
      </c>
      <c r="C31" s="12" t="s">
        <v>182</v>
      </c>
      <c r="D31" s="8" t="s">
        <v>34</v>
      </c>
      <c r="E31" s="8" t="s">
        <v>35</v>
      </c>
      <c r="F31" s="9"/>
      <c r="G31" s="9"/>
      <c r="H31" s="10" t="s">
        <v>13</v>
      </c>
      <c r="I31" s="10" t="s">
        <v>13</v>
      </c>
      <c r="J31" s="9"/>
      <c r="K31" s="9"/>
    </row>
    <row r="32" spans="1:11" ht="22.5" customHeight="1" x14ac:dyDescent="0.5">
      <c r="A32" s="6">
        <v>31</v>
      </c>
      <c r="B32" s="7" t="s">
        <v>10</v>
      </c>
      <c r="C32" s="7" t="s">
        <v>182</v>
      </c>
      <c r="D32" s="8" t="s">
        <v>36</v>
      </c>
      <c r="E32" s="8" t="s">
        <v>37</v>
      </c>
      <c r="F32" s="9"/>
      <c r="G32" s="10" t="s">
        <v>13</v>
      </c>
      <c r="H32" s="9"/>
      <c r="I32" s="9"/>
      <c r="J32" s="10" t="s">
        <v>13</v>
      </c>
      <c r="K32" s="9"/>
    </row>
    <row r="33" spans="1:11" ht="22.5" customHeight="1" x14ac:dyDescent="0.5">
      <c r="A33" s="11">
        <v>31</v>
      </c>
      <c r="B33" s="12" t="s">
        <v>14</v>
      </c>
      <c r="C33" s="12" t="s">
        <v>182</v>
      </c>
      <c r="D33" s="8" t="s">
        <v>36</v>
      </c>
      <c r="E33" s="8" t="s">
        <v>37</v>
      </c>
      <c r="F33" s="10" t="s">
        <v>13</v>
      </c>
      <c r="G33" s="9"/>
      <c r="H33" s="9"/>
      <c r="I33" s="9"/>
      <c r="J33" s="9"/>
      <c r="K33" s="10" t="s">
        <v>13</v>
      </c>
    </row>
    <row r="34" spans="1:11" ht="22.5" customHeight="1" x14ac:dyDescent="0.5">
      <c r="A34" s="6">
        <v>31</v>
      </c>
      <c r="B34" s="7" t="s">
        <v>17</v>
      </c>
      <c r="C34" s="7" t="s">
        <v>182</v>
      </c>
      <c r="D34" s="8" t="s">
        <v>36</v>
      </c>
      <c r="E34" s="8" t="s">
        <v>37</v>
      </c>
      <c r="F34" s="9"/>
      <c r="G34" s="9"/>
      <c r="H34" s="10" t="s">
        <v>13</v>
      </c>
      <c r="I34" s="10" t="s">
        <v>13</v>
      </c>
      <c r="J34" s="9"/>
      <c r="K34" s="9"/>
    </row>
    <row r="35" spans="1:11" ht="22.5" customHeight="1" x14ac:dyDescent="0.5">
      <c r="A35" s="11">
        <v>32</v>
      </c>
      <c r="B35" s="12" t="s">
        <v>10</v>
      </c>
      <c r="C35" s="12" t="s">
        <v>182</v>
      </c>
      <c r="D35" s="8" t="s">
        <v>38</v>
      </c>
      <c r="E35" s="8" t="s">
        <v>39</v>
      </c>
      <c r="F35" s="10" t="s">
        <v>16</v>
      </c>
      <c r="G35" s="9"/>
      <c r="H35" s="9"/>
      <c r="I35" s="9"/>
      <c r="J35" s="9"/>
      <c r="K35" s="10" t="s">
        <v>16</v>
      </c>
    </row>
    <row r="36" spans="1:11" ht="22.5" customHeight="1" x14ac:dyDescent="0.5">
      <c r="A36" s="6">
        <v>32</v>
      </c>
      <c r="B36" s="7" t="s">
        <v>14</v>
      </c>
      <c r="C36" s="7" t="s">
        <v>182</v>
      </c>
      <c r="D36" s="8" t="s">
        <v>38</v>
      </c>
      <c r="E36" s="8" t="s">
        <v>39</v>
      </c>
      <c r="F36" s="9"/>
      <c r="G36" s="9"/>
      <c r="H36" s="10" t="s">
        <v>16</v>
      </c>
      <c r="I36" s="10" t="s">
        <v>16</v>
      </c>
      <c r="J36" s="9"/>
      <c r="K36" s="9"/>
    </row>
    <row r="37" spans="1:11" ht="22.5" customHeight="1" x14ac:dyDescent="0.5">
      <c r="A37" s="11">
        <v>32</v>
      </c>
      <c r="B37" s="12" t="s">
        <v>17</v>
      </c>
      <c r="C37" s="12" t="s">
        <v>182</v>
      </c>
      <c r="D37" s="8" t="s">
        <v>38</v>
      </c>
      <c r="E37" s="8" t="s">
        <v>39</v>
      </c>
      <c r="F37" s="9"/>
      <c r="G37" s="10" t="s">
        <v>16</v>
      </c>
      <c r="H37" s="9"/>
      <c r="I37" s="9"/>
      <c r="J37" s="10" t="s">
        <v>16</v>
      </c>
      <c r="K37" s="9"/>
    </row>
    <row r="38" spans="1:11" ht="22.5" customHeight="1" x14ac:dyDescent="0.5">
      <c r="A38" s="6">
        <v>36</v>
      </c>
      <c r="B38" s="7" t="s">
        <v>10</v>
      </c>
      <c r="C38" s="7" t="s">
        <v>182</v>
      </c>
      <c r="D38" s="8" t="s">
        <v>40</v>
      </c>
      <c r="E38" s="8" t="s">
        <v>41</v>
      </c>
      <c r="F38" s="9"/>
      <c r="G38" s="9"/>
      <c r="H38" s="10" t="s">
        <v>13</v>
      </c>
      <c r="I38" s="10" t="s">
        <v>13</v>
      </c>
      <c r="J38" s="9"/>
      <c r="K38" s="9"/>
    </row>
    <row r="39" spans="1:11" ht="22.5" customHeight="1" x14ac:dyDescent="0.5">
      <c r="A39" s="11">
        <v>36</v>
      </c>
      <c r="B39" s="12" t="s">
        <v>14</v>
      </c>
      <c r="C39" s="12" t="s">
        <v>182</v>
      </c>
      <c r="D39" s="8" t="s">
        <v>40</v>
      </c>
      <c r="E39" s="8" t="s">
        <v>41</v>
      </c>
      <c r="F39" s="9"/>
      <c r="G39" s="10" t="s">
        <v>13</v>
      </c>
      <c r="H39" s="9"/>
      <c r="I39" s="9"/>
      <c r="J39" s="10" t="s">
        <v>13</v>
      </c>
      <c r="K39" s="9"/>
    </row>
    <row r="40" spans="1:11" ht="22.5" customHeight="1" x14ac:dyDescent="0.5">
      <c r="A40" s="6">
        <v>36</v>
      </c>
      <c r="B40" s="7" t="s">
        <v>17</v>
      </c>
      <c r="C40" s="7" t="s">
        <v>182</v>
      </c>
      <c r="D40" s="8" t="s">
        <v>40</v>
      </c>
      <c r="E40" s="8" t="s">
        <v>41</v>
      </c>
      <c r="F40" s="10" t="s">
        <v>13</v>
      </c>
      <c r="G40" s="9"/>
      <c r="H40" s="9"/>
      <c r="I40" s="9"/>
      <c r="J40" s="9"/>
      <c r="K40" s="10" t="s">
        <v>13</v>
      </c>
    </row>
    <row r="41" spans="1:11" ht="22.5" customHeight="1" x14ac:dyDescent="0.5">
      <c r="A41" s="11">
        <v>38</v>
      </c>
      <c r="B41" s="12" t="s">
        <v>10</v>
      </c>
      <c r="C41" s="12" t="s">
        <v>182</v>
      </c>
      <c r="D41" s="8" t="s">
        <v>42</v>
      </c>
      <c r="E41" s="8" t="s">
        <v>43</v>
      </c>
      <c r="F41" s="10" t="s">
        <v>13</v>
      </c>
      <c r="G41" s="9"/>
      <c r="H41" s="9"/>
      <c r="I41" s="9"/>
      <c r="J41" s="9"/>
      <c r="K41" s="10" t="s">
        <v>13</v>
      </c>
    </row>
    <row r="42" spans="1:11" ht="22.5" customHeight="1" x14ac:dyDescent="0.5">
      <c r="A42" s="6">
        <v>38</v>
      </c>
      <c r="B42" s="7" t="s">
        <v>14</v>
      </c>
      <c r="C42" s="7" t="s">
        <v>182</v>
      </c>
      <c r="D42" s="8" t="s">
        <v>42</v>
      </c>
      <c r="E42" s="8" t="s">
        <v>43</v>
      </c>
      <c r="F42" s="9"/>
      <c r="G42" s="10" t="s">
        <v>13</v>
      </c>
      <c r="H42" s="9"/>
      <c r="I42" s="9"/>
      <c r="J42" s="10" t="s">
        <v>13</v>
      </c>
      <c r="K42" s="9"/>
    </row>
    <row r="43" spans="1:11" ht="22.5" customHeight="1" x14ac:dyDescent="0.5">
      <c r="A43" s="11">
        <v>38</v>
      </c>
      <c r="B43" s="12" t="s">
        <v>17</v>
      </c>
      <c r="C43" s="12" t="s">
        <v>182</v>
      </c>
      <c r="D43" s="8" t="s">
        <v>42</v>
      </c>
      <c r="E43" s="8" t="s">
        <v>43</v>
      </c>
      <c r="F43" s="9"/>
      <c r="G43" s="9"/>
      <c r="H43" s="10" t="s">
        <v>16</v>
      </c>
      <c r="I43" s="10" t="s">
        <v>16</v>
      </c>
      <c r="J43" s="9"/>
      <c r="K43" s="9"/>
    </row>
    <row r="44" spans="1:11" ht="22.5" customHeight="1" x14ac:dyDescent="0.5">
      <c r="A44" s="6">
        <v>42</v>
      </c>
      <c r="B44" s="7" t="s">
        <v>10</v>
      </c>
      <c r="C44" s="7" t="s">
        <v>188</v>
      </c>
      <c r="D44" s="8" t="s">
        <v>44</v>
      </c>
      <c r="E44" s="8" t="s">
        <v>45</v>
      </c>
      <c r="F44" s="9"/>
      <c r="G44" s="9"/>
      <c r="H44" s="10" t="s">
        <v>13</v>
      </c>
      <c r="I44" s="10" t="s">
        <v>13</v>
      </c>
      <c r="J44" s="9"/>
      <c r="K44" s="9"/>
    </row>
    <row r="45" spans="1:11" ht="22.5" customHeight="1" x14ac:dyDescent="0.5">
      <c r="A45" s="11">
        <v>42</v>
      </c>
      <c r="B45" s="12" t="s">
        <v>14</v>
      </c>
      <c r="C45" s="12" t="s">
        <v>188</v>
      </c>
      <c r="D45" s="8" t="s">
        <v>44</v>
      </c>
      <c r="E45" s="8" t="s">
        <v>45</v>
      </c>
      <c r="F45" s="10" t="s">
        <v>16</v>
      </c>
      <c r="G45" s="9"/>
      <c r="H45" s="9"/>
      <c r="I45" s="9"/>
      <c r="J45" s="9"/>
      <c r="K45" s="10" t="s">
        <v>16</v>
      </c>
    </row>
    <row r="46" spans="1:11" ht="22.5" customHeight="1" x14ac:dyDescent="0.5">
      <c r="A46" s="6">
        <v>42</v>
      </c>
      <c r="B46" s="7" t="s">
        <v>17</v>
      </c>
      <c r="C46" s="7" t="s">
        <v>188</v>
      </c>
      <c r="D46" s="8" t="s">
        <v>44</v>
      </c>
      <c r="E46" s="8" t="s">
        <v>45</v>
      </c>
      <c r="F46" s="9"/>
      <c r="G46" s="10" t="s">
        <v>13</v>
      </c>
      <c r="H46" s="9"/>
      <c r="I46" s="9"/>
      <c r="J46" s="10" t="s">
        <v>13</v>
      </c>
      <c r="K46" s="9"/>
    </row>
    <row r="47" spans="1:11" ht="22.5" customHeight="1" x14ac:dyDescent="0.5">
      <c r="A47" s="11">
        <v>48</v>
      </c>
      <c r="B47" s="12" t="s">
        <v>10</v>
      </c>
      <c r="C47" s="12" t="s">
        <v>182</v>
      </c>
      <c r="D47" s="8" t="s">
        <v>46</v>
      </c>
      <c r="E47" s="8" t="s">
        <v>47</v>
      </c>
      <c r="F47" s="10" t="s">
        <v>16</v>
      </c>
      <c r="G47" s="9"/>
      <c r="H47" s="9"/>
      <c r="I47" s="9"/>
      <c r="J47" s="9"/>
      <c r="K47" s="10" t="s">
        <v>16</v>
      </c>
    </row>
    <row r="48" spans="1:11" ht="22.5" customHeight="1" x14ac:dyDescent="0.5">
      <c r="A48" s="6">
        <v>48</v>
      </c>
      <c r="B48" s="7" t="s">
        <v>14</v>
      </c>
      <c r="C48" s="7" t="s">
        <v>182</v>
      </c>
      <c r="D48" s="8" t="s">
        <v>46</v>
      </c>
      <c r="E48" s="8" t="s">
        <v>47</v>
      </c>
      <c r="F48" s="9"/>
      <c r="G48" s="9"/>
      <c r="H48" s="10" t="s">
        <v>16</v>
      </c>
      <c r="I48" s="10" t="s">
        <v>16</v>
      </c>
      <c r="J48" s="9"/>
      <c r="K48" s="9"/>
    </row>
    <row r="49" spans="1:11" ht="22.5" customHeight="1" x14ac:dyDescent="0.5">
      <c r="A49" s="11">
        <v>48</v>
      </c>
      <c r="B49" s="12" t="s">
        <v>17</v>
      </c>
      <c r="C49" s="12" t="s">
        <v>182</v>
      </c>
      <c r="D49" s="8" t="s">
        <v>46</v>
      </c>
      <c r="E49" s="8" t="s">
        <v>47</v>
      </c>
      <c r="F49" s="9"/>
      <c r="G49" s="10" t="s">
        <v>16</v>
      </c>
      <c r="H49" s="9"/>
      <c r="I49" s="9"/>
      <c r="J49" s="10" t="s">
        <v>16</v>
      </c>
      <c r="K49" s="9"/>
    </row>
    <row r="50" spans="1:11" ht="22.5" customHeight="1" x14ac:dyDescent="0.5">
      <c r="A50" s="6">
        <v>59</v>
      </c>
      <c r="B50" s="7" t="s">
        <v>10</v>
      </c>
      <c r="C50" s="7" t="s">
        <v>182</v>
      </c>
      <c r="D50" s="8" t="s">
        <v>48</v>
      </c>
      <c r="E50" s="8" t="s">
        <v>49</v>
      </c>
      <c r="F50" s="9"/>
      <c r="G50" s="9"/>
      <c r="H50" s="10" t="s">
        <v>13</v>
      </c>
      <c r="I50" s="10" t="s">
        <v>13</v>
      </c>
      <c r="J50" s="9"/>
      <c r="K50" s="9"/>
    </row>
    <row r="51" spans="1:11" ht="22.5" customHeight="1" x14ac:dyDescent="0.5">
      <c r="A51" s="11">
        <v>59</v>
      </c>
      <c r="B51" s="12" t="s">
        <v>14</v>
      </c>
      <c r="C51" s="12" t="s">
        <v>182</v>
      </c>
      <c r="D51" s="8" t="s">
        <v>48</v>
      </c>
      <c r="E51" s="8" t="s">
        <v>49</v>
      </c>
      <c r="F51" s="9"/>
      <c r="G51" s="10" t="s">
        <v>13</v>
      </c>
      <c r="H51" s="9"/>
      <c r="I51" s="9"/>
      <c r="J51" s="10" t="s">
        <v>13</v>
      </c>
      <c r="K51" s="9"/>
    </row>
    <row r="52" spans="1:11" ht="22.5" customHeight="1" x14ac:dyDescent="0.5">
      <c r="A52" s="6">
        <v>59</v>
      </c>
      <c r="B52" s="7" t="s">
        <v>17</v>
      </c>
      <c r="C52" s="7" t="s">
        <v>182</v>
      </c>
      <c r="D52" s="8" t="s">
        <v>48</v>
      </c>
      <c r="E52" s="8" t="s">
        <v>49</v>
      </c>
      <c r="F52" s="10" t="s">
        <v>13</v>
      </c>
      <c r="G52" s="9"/>
      <c r="H52" s="9"/>
      <c r="I52" s="9"/>
      <c r="J52" s="9"/>
      <c r="K52" s="10" t="s">
        <v>13</v>
      </c>
    </row>
    <row r="53" spans="1:11" ht="22.5" customHeight="1" x14ac:dyDescent="0.5">
      <c r="A53" s="11">
        <v>92</v>
      </c>
      <c r="B53" s="12" t="s">
        <v>10</v>
      </c>
      <c r="C53" s="12" t="s">
        <v>182</v>
      </c>
      <c r="D53" s="8" t="s">
        <v>50</v>
      </c>
      <c r="E53" s="8" t="s">
        <v>51</v>
      </c>
      <c r="F53" s="10" t="s">
        <v>13</v>
      </c>
      <c r="G53" s="9"/>
      <c r="H53" s="9"/>
      <c r="I53" s="9"/>
      <c r="J53" s="9"/>
      <c r="K53" s="10" t="s">
        <v>13</v>
      </c>
    </row>
    <row r="54" spans="1:11" ht="22.5" customHeight="1" x14ac:dyDescent="0.5">
      <c r="A54" s="6">
        <v>92</v>
      </c>
      <c r="B54" s="7" t="s">
        <v>14</v>
      </c>
      <c r="C54" s="7" t="s">
        <v>182</v>
      </c>
      <c r="D54" s="8" t="s">
        <v>50</v>
      </c>
      <c r="E54" s="8" t="s">
        <v>51</v>
      </c>
      <c r="F54" s="9"/>
      <c r="G54" s="9"/>
      <c r="H54" s="10" t="s">
        <v>16</v>
      </c>
      <c r="I54" s="10" t="s">
        <v>16</v>
      </c>
      <c r="J54" s="9"/>
      <c r="K54" s="9"/>
    </row>
    <row r="55" spans="1:11" ht="22.5" customHeight="1" x14ac:dyDescent="0.5">
      <c r="A55" s="11">
        <v>92</v>
      </c>
      <c r="B55" s="12" t="s">
        <v>17</v>
      </c>
      <c r="C55" s="12" t="s">
        <v>182</v>
      </c>
      <c r="D55" s="8" t="s">
        <v>50</v>
      </c>
      <c r="E55" s="8" t="s">
        <v>51</v>
      </c>
      <c r="F55" s="9"/>
      <c r="G55" s="10" t="s">
        <v>13</v>
      </c>
      <c r="H55" s="9"/>
      <c r="I55" s="9"/>
      <c r="J55" s="10" t="s">
        <v>13</v>
      </c>
      <c r="K55" s="9"/>
    </row>
    <row r="56" spans="1:11" ht="22.5" customHeight="1" x14ac:dyDescent="0.5">
      <c r="A56" s="6">
        <v>97</v>
      </c>
      <c r="B56" s="7" t="s">
        <v>10</v>
      </c>
      <c r="C56" s="7" t="s">
        <v>188</v>
      </c>
      <c r="D56" s="8" t="s">
        <v>52</v>
      </c>
      <c r="E56" s="8" t="s">
        <v>53</v>
      </c>
      <c r="F56" s="10" t="s">
        <v>13</v>
      </c>
      <c r="G56" s="9"/>
      <c r="H56" s="9"/>
      <c r="I56" s="9"/>
      <c r="J56" s="9"/>
      <c r="K56" s="10" t="s">
        <v>13</v>
      </c>
    </row>
    <row r="57" spans="1:11" ht="22.5" customHeight="1" x14ac:dyDescent="0.5">
      <c r="A57" s="11">
        <v>97</v>
      </c>
      <c r="B57" s="12" t="s">
        <v>14</v>
      </c>
      <c r="C57" s="12" t="s">
        <v>188</v>
      </c>
      <c r="D57" s="8" t="s">
        <v>52</v>
      </c>
      <c r="E57" s="8" t="s">
        <v>53</v>
      </c>
      <c r="F57" s="9"/>
      <c r="G57" s="10" t="s">
        <v>13</v>
      </c>
      <c r="H57" s="9"/>
      <c r="I57" s="9"/>
      <c r="J57" s="10" t="s">
        <v>13</v>
      </c>
      <c r="K57" s="9"/>
    </row>
    <row r="58" spans="1:11" ht="22.5" customHeight="1" x14ac:dyDescent="0.5">
      <c r="A58" s="6">
        <v>97</v>
      </c>
      <c r="B58" s="7" t="s">
        <v>17</v>
      </c>
      <c r="C58" s="7" t="s">
        <v>188</v>
      </c>
      <c r="D58" s="8" t="s">
        <v>52</v>
      </c>
      <c r="E58" s="8" t="s">
        <v>53</v>
      </c>
      <c r="F58" s="9"/>
      <c r="G58" s="9"/>
      <c r="H58" s="10" t="s">
        <v>13</v>
      </c>
      <c r="I58" s="10" t="s">
        <v>13</v>
      </c>
      <c r="J58" s="9"/>
      <c r="K58" s="9"/>
    </row>
    <row r="59" spans="1:11" ht="22.5" customHeight="1" x14ac:dyDescent="0.5">
      <c r="A59" s="11">
        <v>98</v>
      </c>
      <c r="B59" s="12" t="s">
        <v>10</v>
      </c>
      <c r="C59" s="12" t="s">
        <v>188</v>
      </c>
      <c r="D59" s="8" t="s">
        <v>54</v>
      </c>
      <c r="E59" s="8" t="s">
        <v>55</v>
      </c>
      <c r="F59" s="9"/>
      <c r="G59" s="10" t="s">
        <v>13</v>
      </c>
      <c r="H59" s="9"/>
      <c r="I59" s="9"/>
      <c r="J59" s="10" t="s">
        <v>13</v>
      </c>
      <c r="K59" s="9"/>
    </row>
    <row r="60" spans="1:11" ht="22.5" customHeight="1" x14ac:dyDescent="0.5">
      <c r="A60" s="6">
        <v>98</v>
      </c>
      <c r="B60" s="7" t="s">
        <v>14</v>
      </c>
      <c r="C60" s="7" t="s">
        <v>188</v>
      </c>
      <c r="D60" s="8" t="s">
        <v>54</v>
      </c>
      <c r="E60" s="8" t="s">
        <v>55</v>
      </c>
      <c r="F60" s="9"/>
      <c r="G60" s="9"/>
      <c r="H60" s="10" t="s">
        <v>16</v>
      </c>
      <c r="I60" s="10" t="s">
        <v>16</v>
      </c>
      <c r="J60" s="9"/>
      <c r="K60" s="9"/>
    </row>
    <row r="61" spans="1:11" ht="22.5" customHeight="1" x14ac:dyDescent="0.5">
      <c r="A61" s="11">
        <v>98</v>
      </c>
      <c r="B61" s="12" t="s">
        <v>17</v>
      </c>
      <c r="C61" s="12" t="s">
        <v>188</v>
      </c>
      <c r="D61" s="8" t="s">
        <v>54</v>
      </c>
      <c r="E61" s="8" t="s">
        <v>55</v>
      </c>
      <c r="F61" s="10" t="s">
        <v>16</v>
      </c>
      <c r="G61" s="9"/>
      <c r="H61" s="9"/>
      <c r="I61" s="9"/>
      <c r="J61" s="9"/>
      <c r="K61" s="10" t="s">
        <v>16</v>
      </c>
    </row>
    <row r="62" spans="1:11" ht="22.5" customHeight="1" x14ac:dyDescent="0.5">
      <c r="A62" s="6">
        <v>104</v>
      </c>
      <c r="B62" s="7" t="s">
        <v>10</v>
      </c>
      <c r="C62" s="7" t="s">
        <v>182</v>
      </c>
      <c r="D62" s="8" t="s">
        <v>56</v>
      </c>
      <c r="E62" s="8" t="s">
        <v>57</v>
      </c>
      <c r="F62" s="9"/>
      <c r="G62" s="10" t="s">
        <v>13</v>
      </c>
      <c r="H62" s="9"/>
      <c r="I62" s="9"/>
      <c r="J62" s="10" t="s">
        <v>13</v>
      </c>
      <c r="K62" s="9"/>
    </row>
    <row r="63" spans="1:11" ht="22.5" customHeight="1" x14ac:dyDescent="0.5">
      <c r="A63" s="11">
        <v>104</v>
      </c>
      <c r="B63" s="12" t="s">
        <v>14</v>
      </c>
      <c r="C63" s="12" t="s">
        <v>182</v>
      </c>
      <c r="D63" s="8" t="s">
        <v>56</v>
      </c>
      <c r="E63" s="8" t="s">
        <v>57</v>
      </c>
      <c r="F63" s="9"/>
      <c r="G63" s="9"/>
      <c r="H63" s="10" t="s">
        <v>13</v>
      </c>
      <c r="I63" s="10" t="s">
        <v>13</v>
      </c>
      <c r="J63" s="9"/>
      <c r="K63" s="9"/>
    </row>
    <row r="64" spans="1:11" ht="22.5" customHeight="1" x14ac:dyDescent="0.5">
      <c r="A64" s="6">
        <v>104</v>
      </c>
      <c r="B64" s="7" t="s">
        <v>17</v>
      </c>
      <c r="C64" s="7" t="s">
        <v>182</v>
      </c>
      <c r="D64" s="8" t="s">
        <v>56</v>
      </c>
      <c r="E64" s="8" t="s">
        <v>57</v>
      </c>
      <c r="F64" s="10" t="s">
        <v>13</v>
      </c>
      <c r="G64" s="9"/>
      <c r="H64" s="9"/>
      <c r="I64" s="9"/>
      <c r="J64" s="9"/>
      <c r="K64" s="10" t="s">
        <v>13</v>
      </c>
    </row>
    <row r="65" spans="1:11" ht="22.5" customHeight="1" x14ac:dyDescent="0.5">
      <c r="A65" s="11">
        <v>109</v>
      </c>
      <c r="B65" s="12" t="s">
        <v>10</v>
      </c>
      <c r="C65" s="12" t="s">
        <v>188</v>
      </c>
      <c r="D65" s="8" t="s">
        <v>58</v>
      </c>
      <c r="E65" s="8" t="s">
        <v>59</v>
      </c>
      <c r="F65" s="9"/>
      <c r="G65" s="9"/>
      <c r="H65" s="10" t="s">
        <v>13</v>
      </c>
      <c r="I65" s="10" t="s">
        <v>13</v>
      </c>
      <c r="J65" s="9"/>
      <c r="K65" s="9"/>
    </row>
    <row r="66" spans="1:11" ht="22.5" customHeight="1" x14ac:dyDescent="0.5">
      <c r="A66" s="6">
        <v>109</v>
      </c>
      <c r="B66" s="7" t="s">
        <v>14</v>
      </c>
      <c r="C66" s="7" t="s">
        <v>188</v>
      </c>
      <c r="D66" s="8" t="s">
        <v>58</v>
      </c>
      <c r="E66" s="8" t="s">
        <v>59</v>
      </c>
      <c r="F66" s="9"/>
      <c r="G66" s="10" t="s">
        <v>16</v>
      </c>
      <c r="H66" s="9"/>
      <c r="I66" s="9"/>
      <c r="J66" s="10" t="s">
        <v>16</v>
      </c>
      <c r="K66" s="9"/>
    </row>
    <row r="67" spans="1:11" ht="22.5" customHeight="1" x14ac:dyDescent="0.5">
      <c r="A67" s="11">
        <v>109</v>
      </c>
      <c r="B67" s="12" t="s">
        <v>17</v>
      </c>
      <c r="C67" s="12" t="s">
        <v>188</v>
      </c>
      <c r="D67" s="8" t="s">
        <v>58</v>
      </c>
      <c r="E67" s="8" t="s">
        <v>59</v>
      </c>
      <c r="F67" s="10" t="s">
        <v>13</v>
      </c>
      <c r="G67" s="9"/>
      <c r="H67" s="9"/>
      <c r="I67" s="9"/>
      <c r="J67" s="9"/>
      <c r="K67" s="10" t="s">
        <v>13</v>
      </c>
    </row>
    <row r="68" spans="1:11" ht="22.5" customHeight="1" x14ac:dyDescent="0.5">
      <c r="A68" s="6">
        <v>110</v>
      </c>
      <c r="B68" s="7" t="s">
        <v>10</v>
      </c>
      <c r="C68" s="7" t="s">
        <v>182</v>
      </c>
      <c r="D68" s="8" t="s">
        <v>60</v>
      </c>
      <c r="E68" s="8" t="s">
        <v>61</v>
      </c>
      <c r="F68" s="9"/>
      <c r="G68" s="10" t="s">
        <v>16</v>
      </c>
      <c r="H68" s="9"/>
      <c r="I68" s="9"/>
      <c r="J68" s="10" t="s">
        <v>16</v>
      </c>
      <c r="K68" s="9"/>
    </row>
    <row r="69" spans="1:11" ht="22.5" customHeight="1" x14ac:dyDescent="0.5">
      <c r="A69" s="11">
        <v>110</v>
      </c>
      <c r="B69" s="12" t="s">
        <v>14</v>
      </c>
      <c r="C69" s="12" t="s">
        <v>182</v>
      </c>
      <c r="D69" s="8" t="s">
        <v>60</v>
      </c>
      <c r="E69" s="8" t="s">
        <v>61</v>
      </c>
      <c r="F69" s="10" t="s">
        <v>13</v>
      </c>
      <c r="G69" s="9"/>
      <c r="H69" s="9"/>
      <c r="I69" s="9"/>
      <c r="J69" s="9"/>
      <c r="K69" s="10" t="s">
        <v>13</v>
      </c>
    </row>
    <row r="70" spans="1:11" ht="22.5" customHeight="1" x14ac:dyDescent="0.5">
      <c r="A70" s="6">
        <v>110</v>
      </c>
      <c r="B70" s="7" t="s">
        <v>17</v>
      </c>
      <c r="C70" s="7" t="s">
        <v>182</v>
      </c>
      <c r="D70" s="8" t="s">
        <v>60</v>
      </c>
      <c r="E70" s="8" t="s">
        <v>61</v>
      </c>
      <c r="F70" s="9"/>
      <c r="G70" s="9"/>
      <c r="H70" s="10" t="s">
        <v>13</v>
      </c>
      <c r="I70" s="10" t="s">
        <v>13</v>
      </c>
      <c r="J70" s="9"/>
      <c r="K70" s="9"/>
    </row>
    <row r="71" spans="1:11" ht="22.5" customHeight="1" x14ac:dyDescent="0.5">
      <c r="A71" s="11">
        <v>112</v>
      </c>
      <c r="B71" s="12" t="s">
        <v>10</v>
      </c>
      <c r="C71" s="12" t="s">
        <v>182</v>
      </c>
      <c r="D71" s="8" t="s">
        <v>62</v>
      </c>
      <c r="E71" s="8" t="s">
        <v>63</v>
      </c>
      <c r="F71" s="10" t="s">
        <v>13</v>
      </c>
      <c r="G71" s="9"/>
      <c r="H71" s="9"/>
      <c r="I71" s="9"/>
      <c r="J71" s="9"/>
      <c r="K71" s="10" t="s">
        <v>13</v>
      </c>
    </row>
    <row r="72" spans="1:11" ht="22.5" customHeight="1" x14ac:dyDescent="0.5">
      <c r="A72" s="6">
        <v>112</v>
      </c>
      <c r="B72" s="7" t="s">
        <v>14</v>
      </c>
      <c r="C72" s="7" t="s">
        <v>182</v>
      </c>
      <c r="D72" s="8" t="s">
        <v>62</v>
      </c>
      <c r="E72" s="8" t="s">
        <v>63</v>
      </c>
      <c r="F72" s="9"/>
      <c r="G72" s="10" t="s">
        <v>13</v>
      </c>
      <c r="H72" s="9"/>
      <c r="I72" s="9"/>
      <c r="J72" s="10" t="s">
        <v>13</v>
      </c>
      <c r="K72" s="9"/>
    </row>
    <row r="73" spans="1:11" ht="22.5" customHeight="1" x14ac:dyDescent="0.5">
      <c r="A73" s="11">
        <v>112</v>
      </c>
      <c r="B73" s="12" t="s">
        <v>17</v>
      </c>
      <c r="C73" s="12" t="s">
        <v>182</v>
      </c>
      <c r="D73" s="8" t="s">
        <v>62</v>
      </c>
      <c r="E73" s="8" t="s">
        <v>63</v>
      </c>
      <c r="F73" s="9"/>
      <c r="G73" s="9"/>
      <c r="H73" s="10" t="s">
        <v>13</v>
      </c>
      <c r="I73" s="10" t="s">
        <v>13</v>
      </c>
      <c r="J73" s="9"/>
      <c r="K73" s="9"/>
    </row>
    <row r="74" spans="1:11" ht="22.5" customHeight="1" x14ac:dyDescent="0.5">
      <c r="A74" s="6">
        <v>117</v>
      </c>
      <c r="B74" s="7" t="s">
        <v>10</v>
      </c>
      <c r="C74" s="7" t="s">
        <v>182</v>
      </c>
      <c r="D74" s="8" t="s">
        <v>64</v>
      </c>
      <c r="E74" s="8" t="s">
        <v>65</v>
      </c>
      <c r="F74" s="9"/>
      <c r="G74" s="9"/>
      <c r="H74" s="10" t="s">
        <v>16</v>
      </c>
      <c r="I74" s="10" t="s">
        <v>16</v>
      </c>
      <c r="J74" s="9"/>
      <c r="K74" s="9"/>
    </row>
    <row r="75" spans="1:11" ht="22.5" customHeight="1" x14ac:dyDescent="0.5">
      <c r="A75" s="11">
        <v>117</v>
      </c>
      <c r="B75" s="12" t="s">
        <v>14</v>
      </c>
      <c r="C75" s="12" t="s">
        <v>182</v>
      </c>
      <c r="D75" s="8" t="s">
        <v>64</v>
      </c>
      <c r="E75" s="8" t="s">
        <v>65</v>
      </c>
      <c r="F75" s="9"/>
      <c r="G75" s="10" t="s">
        <v>16</v>
      </c>
      <c r="H75" s="9"/>
      <c r="I75" s="9"/>
      <c r="J75" s="10" t="s">
        <v>16</v>
      </c>
      <c r="K75" s="9"/>
    </row>
    <row r="76" spans="1:11" ht="22.5" customHeight="1" x14ac:dyDescent="0.5">
      <c r="A76" s="6">
        <v>117</v>
      </c>
      <c r="B76" s="7" t="s">
        <v>17</v>
      </c>
      <c r="C76" s="7" t="s">
        <v>182</v>
      </c>
      <c r="D76" s="8" t="s">
        <v>64</v>
      </c>
      <c r="E76" s="8" t="s">
        <v>65</v>
      </c>
      <c r="F76" s="10" t="s">
        <v>16</v>
      </c>
      <c r="G76" s="9"/>
      <c r="H76" s="9"/>
      <c r="I76" s="9"/>
      <c r="J76" s="9"/>
      <c r="K76" s="10" t="s">
        <v>16</v>
      </c>
    </row>
    <row r="77" spans="1:11" ht="22.5" customHeight="1" x14ac:dyDescent="0.5">
      <c r="A77" s="11">
        <v>122</v>
      </c>
      <c r="B77" s="12" t="s">
        <v>10</v>
      </c>
      <c r="C77" s="12" t="s">
        <v>188</v>
      </c>
      <c r="D77" s="8" t="s">
        <v>66</v>
      </c>
      <c r="E77" s="8" t="s">
        <v>67</v>
      </c>
      <c r="F77" s="9"/>
      <c r="G77" s="10" t="s">
        <v>13</v>
      </c>
      <c r="H77" s="9"/>
      <c r="I77" s="9"/>
      <c r="J77" s="10" t="s">
        <v>13</v>
      </c>
      <c r="K77" s="9"/>
    </row>
    <row r="78" spans="1:11" ht="22.5" customHeight="1" x14ac:dyDescent="0.5">
      <c r="A78" s="6">
        <v>122</v>
      </c>
      <c r="B78" s="7" t="s">
        <v>14</v>
      </c>
      <c r="C78" s="7" t="s">
        <v>188</v>
      </c>
      <c r="D78" s="8" t="s">
        <v>66</v>
      </c>
      <c r="E78" s="8" t="s">
        <v>67</v>
      </c>
      <c r="F78" s="10" t="s">
        <v>16</v>
      </c>
      <c r="G78" s="9"/>
      <c r="H78" s="9"/>
      <c r="I78" s="9"/>
      <c r="J78" s="9"/>
      <c r="K78" s="10" t="s">
        <v>16</v>
      </c>
    </row>
    <row r="79" spans="1:11" ht="22.5" customHeight="1" x14ac:dyDescent="0.5">
      <c r="A79" s="11">
        <v>122</v>
      </c>
      <c r="B79" s="12" t="s">
        <v>17</v>
      </c>
      <c r="C79" s="12" t="s">
        <v>188</v>
      </c>
      <c r="D79" s="8" t="s">
        <v>66</v>
      </c>
      <c r="E79" s="8" t="s">
        <v>67</v>
      </c>
      <c r="F79" s="9"/>
      <c r="G79" s="9"/>
      <c r="H79" s="10" t="s">
        <v>13</v>
      </c>
      <c r="I79" s="10" t="s">
        <v>13</v>
      </c>
      <c r="J79" s="9"/>
      <c r="K79" s="9"/>
    </row>
    <row r="80" spans="1:11" ht="22.5" customHeight="1" x14ac:dyDescent="0.5">
      <c r="A80" s="6">
        <v>129</v>
      </c>
      <c r="B80" s="7" t="s">
        <v>10</v>
      </c>
      <c r="C80" s="7" t="s">
        <v>182</v>
      </c>
      <c r="D80" s="8" t="s">
        <v>68</v>
      </c>
      <c r="E80" s="8" t="s">
        <v>69</v>
      </c>
      <c r="F80" s="10" t="s">
        <v>13</v>
      </c>
      <c r="G80" s="9"/>
      <c r="H80" s="9"/>
      <c r="I80" s="9"/>
      <c r="J80" s="9"/>
      <c r="K80" s="10" t="s">
        <v>13</v>
      </c>
    </row>
    <row r="81" spans="1:11" ht="22.5" customHeight="1" x14ac:dyDescent="0.5">
      <c r="A81" s="11">
        <v>129</v>
      </c>
      <c r="B81" s="12" t="s">
        <v>14</v>
      </c>
      <c r="C81" s="12" t="s">
        <v>182</v>
      </c>
      <c r="D81" s="8" t="s">
        <v>68</v>
      </c>
      <c r="E81" s="8" t="s">
        <v>69</v>
      </c>
      <c r="F81" s="9"/>
      <c r="G81" s="9"/>
      <c r="H81" s="10" t="s">
        <v>13</v>
      </c>
      <c r="I81" s="10" t="s">
        <v>13</v>
      </c>
      <c r="J81" s="9"/>
      <c r="K81" s="9"/>
    </row>
    <row r="82" spans="1:11" ht="22.5" customHeight="1" x14ac:dyDescent="0.5">
      <c r="A82" s="6">
        <v>129</v>
      </c>
      <c r="B82" s="7" t="s">
        <v>17</v>
      </c>
      <c r="C82" s="7" t="s">
        <v>182</v>
      </c>
      <c r="D82" s="8" t="s">
        <v>68</v>
      </c>
      <c r="E82" s="8" t="s">
        <v>69</v>
      </c>
      <c r="F82" s="9"/>
      <c r="G82" s="10" t="s">
        <v>16</v>
      </c>
      <c r="H82" s="9"/>
      <c r="I82" s="9"/>
      <c r="J82" s="10" t="s">
        <v>16</v>
      </c>
      <c r="K82" s="9"/>
    </row>
    <row r="83" spans="1:11" ht="22.5" customHeight="1" x14ac:dyDescent="0.5">
      <c r="A83" s="11">
        <v>134</v>
      </c>
      <c r="B83" s="12" t="s">
        <v>10</v>
      </c>
      <c r="C83" s="12" t="s">
        <v>182</v>
      </c>
      <c r="D83" s="8" t="s">
        <v>70</v>
      </c>
      <c r="E83" s="8" t="s">
        <v>71</v>
      </c>
      <c r="F83" s="9"/>
      <c r="G83" s="9"/>
      <c r="H83" s="10" t="s">
        <v>16</v>
      </c>
      <c r="I83" s="10" t="s">
        <v>16</v>
      </c>
      <c r="J83" s="9"/>
      <c r="K83" s="9"/>
    </row>
    <row r="84" spans="1:11" ht="22.5" customHeight="1" x14ac:dyDescent="0.5">
      <c r="A84" s="6">
        <v>134</v>
      </c>
      <c r="B84" s="7" t="s">
        <v>14</v>
      </c>
      <c r="C84" s="7" t="s">
        <v>182</v>
      </c>
      <c r="D84" s="8" t="s">
        <v>70</v>
      </c>
      <c r="E84" s="8" t="s">
        <v>71</v>
      </c>
      <c r="F84" s="9"/>
      <c r="G84" s="10" t="s">
        <v>13</v>
      </c>
      <c r="H84" s="9"/>
      <c r="I84" s="9"/>
      <c r="J84" s="10" t="s">
        <v>13</v>
      </c>
      <c r="K84" s="9"/>
    </row>
    <row r="85" spans="1:11" ht="22.5" customHeight="1" x14ac:dyDescent="0.5">
      <c r="A85" s="11">
        <v>134</v>
      </c>
      <c r="B85" s="12" t="s">
        <v>17</v>
      </c>
      <c r="C85" s="12" t="s">
        <v>182</v>
      </c>
      <c r="D85" s="8" t="s">
        <v>70</v>
      </c>
      <c r="E85" s="8" t="s">
        <v>71</v>
      </c>
      <c r="F85" s="10" t="s">
        <v>13</v>
      </c>
      <c r="G85" s="9"/>
      <c r="H85" s="9"/>
      <c r="I85" s="9"/>
      <c r="J85" s="9"/>
      <c r="K85" s="10" t="s">
        <v>13</v>
      </c>
    </row>
    <row r="86" spans="1:11" ht="22.5" customHeight="1" x14ac:dyDescent="0.5">
      <c r="A86" s="6">
        <v>136</v>
      </c>
      <c r="B86" s="7" t="s">
        <v>10</v>
      </c>
      <c r="C86" s="7" t="s">
        <v>188</v>
      </c>
      <c r="D86" s="8" t="s">
        <v>72</v>
      </c>
      <c r="E86" s="8" t="s">
        <v>73</v>
      </c>
      <c r="F86" s="9"/>
      <c r="G86" s="10" t="s">
        <v>13</v>
      </c>
      <c r="H86" s="9"/>
      <c r="I86" s="9"/>
      <c r="J86" s="10" t="s">
        <v>13</v>
      </c>
      <c r="K86" s="9"/>
    </row>
    <row r="87" spans="1:11" ht="22.5" customHeight="1" x14ac:dyDescent="0.5">
      <c r="A87" s="11">
        <v>136</v>
      </c>
      <c r="B87" s="12" t="s">
        <v>14</v>
      </c>
      <c r="C87" s="12" t="s">
        <v>188</v>
      </c>
      <c r="D87" s="8" t="s">
        <v>72</v>
      </c>
      <c r="E87" s="8" t="s">
        <v>73</v>
      </c>
      <c r="F87" s="9"/>
      <c r="G87" s="9"/>
      <c r="H87" s="10" t="s">
        <v>16</v>
      </c>
      <c r="I87" s="10" t="s">
        <v>16</v>
      </c>
      <c r="J87" s="9"/>
      <c r="K87" s="9"/>
    </row>
    <row r="88" spans="1:11" ht="22.5" customHeight="1" x14ac:dyDescent="0.5">
      <c r="A88" s="6">
        <v>136</v>
      </c>
      <c r="B88" s="7" t="s">
        <v>17</v>
      </c>
      <c r="C88" s="7" t="s">
        <v>188</v>
      </c>
      <c r="D88" s="8" t="s">
        <v>72</v>
      </c>
      <c r="E88" s="8" t="s">
        <v>73</v>
      </c>
      <c r="F88" s="10" t="s">
        <v>13</v>
      </c>
      <c r="G88" s="9"/>
      <c r="H88" s="9"/>
      <c r="I88" s="9"/>
      <c r="J88" s="9"/>
      <c r="K88" s="10" t="s">
        <v>13</v>
      </c>
    </row>
    <row r="89" spans="1:11" ht="22.5" customHeight="1" x14ac:dyDescent="0.5">
      <c r="A89" s="11">
        <v>149</v>
      </c>
      <c r="B89" s="12" t="s">
        <v>10</v>
      </c>
      <c r="C89" s="12" t="s">
        <v>182</v>
      </c>
      <c r="D89" s="8" t="s">
        <v>74</v>
      </c>
      <c r="E89" s="8" t="s">
        <v>75</v>
      </c>
      <c r="F89" s="10" t="s">
        <v>13</v>
      </c>
      <c r="G89" s="9"/>
      <c r="H89" s="9"/>
      <c r="I89" s="9"/>
      <c r="J89" s="9"/>
      <c r="K89" s="10" t="s">
        <v>13</v>
      </c>
    </row>
    <row r="90" spans="1:11" ht="22.5" customHeight="1" x14ac:dyDescent="0.5">
      <c r="A90" s="6">
        <v>149</v>
      </c>
      <c r="B90" s="7" t="s">
        <v>14</v>
      </c>
      <c r="C90" s="7" t="s">
        <v>182</v>
      </c>
      <c r="D90" s="8" t="s">
        <v>74</v>
      </c>
      <c r="E90" s="8" t="s">
        <v>75</v>
      </c>
      <c r="F90" s="9"/>
      <c r="G90" s="10" t="s">
        <v>16</v>
      </c>
      <c r="H90" s="9"/>
      <c r="I90" s="9"/>
      <c r="J90" s="10" t="s">
        <v>16</v>
      </c>
      <c r="K90" s="9"/>
    </row>
    <row r="91" spans="1:11" ht="22.5" customHeight="1" x14ac:dyDescent="0.5">
      <c r="A91" s="11">
        <v>149</v>
      </c>
      <c r="B91" s="12" t="s">
        <v>17</v>
      </c>
      <c r="C91" s="12" t="s">
        <v>182</v>
      </c>
      <c r="D91" s="8" t="s">
        <v>74</v>
      </c>
      <c r="E91" s="8" t="s">
        <v>75</v>
      </c>
      <c r="F91" s="9"/>
      <c r="G91" s="9"/>
      <c r="H91" s="10" t="s">
        <v>13</v>
      </c>
      <c r="I91" s="10" t="s">
        <v>13</v>
      </c>
      <c r="J91" s="9"/>
      <c r="K91" s="9"/>
    </row>
    <row r="92" spans="1:11" ht="22.5" customHeight="1" x14ac:dyDescent="0.5">
      <c r="A92" s="6">
        <v>150</v>
      </c>
      <c r="B92" s="7" t="s">
        <v>10</v>
      </c>
      <c r="C92" s="7" t="s">
        <v>182</v>
      </c>
      <c r="D92" s="8" t="s">
        <v>76</v>
      </c>
      <c r="E92" s="8" t="s">
        <v>77</v>
      </c>
      <c r="F92" s="9"/>
      <c r="G92" s="9"/>
      <c r="H92" s="10" t="s">
        <v>13</v>
      </c>
      <c r="I92" s="10" t="s">
        <v>13</v>
      </c>
      <c r="J92" s="9"/>
      <c r="K92" s="9"/>
    </row>
    <row r="93" spans="1:11" ht="22.5" customHeight="1" x14ac:dyDescent="0.5">
      <c r="A93" s="11">
        <v>150</v>
      </c>
      <c r="B93" s="12" t="s">
        <v>14</v>
      </c>
      <c r="C93" s="12" t="s">
        <v>182</v>
      </c>
      <c r="D93" s="8" t="s">
        <v>76</v>
      </c>
      <c r="E93" s="8" t="s">
        <v>77</v>
      </c>
      <c r="F93" s="10" t="s">
        <v>13</v>
      </c>
      <c r="G93" s="9"/>
      <c r="H93" s="9"/>
      <c r="I93" s="9"/>
      <c r="J93" s="9"/>
      <c r="K93" s="10" t="s">
        <v>13</v>
      </c>
    </row>
    <row r="94" spans="1:11" ht="22.5" customHeight="1" x14ac:dyDescent="0.5">
      <c r="A94" s="6">
        <v>150</v>
      </c>
      <c r="B94" s="7" t="s">
        <v>17</v>
      </c>
      <c r="C94" s="7" t="s">
        <v>182</v>
      </c>
      <c r="D94" s="8" t="s">
        <v>76</v>
      </c>
      <c r="E94" s="8" t="s">
        <v>77</v>
      </c>
      <c r="F94" s="9"/>
      <c r="G94" s="10" t="s">
        <v>13</v>
      </c>
      <c r="H94" s="9"/>
      <c r="I94" s="9"/>
      <c r="J94" s="10" t="s">
        <v>13</v>
      </c>
      <c r="K94" s="9"/>
    </row>
    <row r="95" spans="1:11" ht="22.5" customHeight="1" x14ac:dyDescent="0.5">
      <c r="A95" s="11" t="s">
        <v>78</v>
      </c>
      <c r="B95" s="12" t="s">
        <v>79</v>
      </c>
      <c r="C95" s="12" t="s">
        <v>182</v>
      </c>
      <c r="D95" s="8" t="s">
        <v>80</v>
      </c>
      <c r="E95" s="8" t="s">
        <v>81</v>
      </c>
      <c r="F95" s="10" t="s">
        <v>13</v>
      </c>
      <c r="G95" s="10" t="s">
        <v>13</v>
      </c>
      <c r="H95" s="10" t="s">
        <v>13</v>
      </c>
      <c r="I95" s="10" t="s">
        <v>13</v>
      </c>
      <c r="J95" s="10" t="s">
        <v>13</v>
      </c>
      <c r="K95" s="10" t="s">
        <v>13</v>
      </c>
    </row>
    <row r="96" spans="1:11" ht="22.5" customHeight="1" x14ac:dyDescent="0.5">
      <c r="A96" s="6" t="s">
        <v>82</v>
      </c>
      <c r="B96" s="7" t="s">
        <v>79</v>
      </c>
      <c r="C96" s="12" t="s">
        <v>182</v>
      </c>
      <c r="D96" s="8" t="s">
        <v>83</v>
      </c>
      <c r="E96" s="8" t="s">
        <v>84</v>
      </c>
      <c r="F96" s="10" t="s">
        <v>16</v>
      </c>
      <c r="G96" s="10" t="s">
        <v>16</v>
      </c>
      <c r="H96" s="10" t="s">
        <v>16</v>
      </c>
      <c r="I96" s="10" t="s">
        <v>16</v>
      </c>
      <c r="J96" s="10" t="s">
        <v>16</v>
      </c>
      <c r="K96" s="10" t="s">
        <v>16</v>
      </c>
    </row>
    <row r="97" spans="1:11" ht="22.5" customHeight="1" x14ac:dyDescent="0.5">
      <c r="A97" s="11" t="s">
        <v>85</v>
      </c>
      <c r="B97" s="12" t="s">
        <v>79</v>
      </c>
      <c r="C97" s="12" t="s">
        <v>182</v>
      </c>
      <c r="D97" s="8" t="s">
        <v>86</v>
      </c>
      <c r="E97" s="8" t="s">
        <v>87</v>
      </c>
      <c r="F97" s="10" t="s">
        <v>13</v>
      </c>
      <c r="G97" s="10" t="s">
        <v>13</v>
      </c>
      <c r="H97" s="10" t="s">
        <v>13</v>
      </c>
      <c r="I97" s="10" t="s">
        <v>13</v>
      </c>
      <c r="J97" s="10" t="s">
        <v>13</v>
      </c>
      <c r="K97" s="10" t="s">
        <v>13</v>
      </c>
    </row>
    <row r="98" spans="1:11" ht="22.5" customHeight="1" x14ac:dyDescent="0.5">
      <c r="A98" s="6" t="s">
        <v>88</v>
      </c>
      <c r="B98" s="7" t="s">
        <v>79</v>
      </c>
      <c r="C98" s="12" t="s">
        <v>182</v>
      </c>
      <c r="D98" s="8" t="s">
        <v>89</v>
      </c>
      <c r="E98" s="8" t="s">
        <v>90</v>
      </c>
      <c r="F98" s="10" t="s">
        <v>16</v>
      </c>
      <c r="G98" s="10" t="s">
        <v>16</v>
      </c>
      <c r="H98" s="10" t="s">
        <v>16</v>
      </c>
      <c r="I98" s="10" t="s">
        <v>16</v>
      </c>
      <c r="J98" s="10" t="s">
        <v>16</v>
      </c>
      <c r="K98" s="10" t="s">
        <v>16</v>
      </c>
    </row>
    <row r="99" spans="1:11" ht="22.5" customHeight="1" x14ac:dyDescent="0.5">
      <c r="A99" s="11" t="s">
        <v>91</v>
      </c>
      <c r="B99" s="12" t="s">
        <v>79</v>
      </c>
      <c r="C99" s="12" t="s">
        <v>182</v>
      </c>
      <c r="D99" s="8" t="s">
        <v>92</v>
      </c>
      <c r="E99" s="8" t="s">
        <v>93</v>
      </c>
      <c r="F99" s="10" t="s">
        <v>16</v>
      </c>
      <c r="G99" s="10" t="s">
        <v>16</v>
      </c>
      <c r="H99" s="10" t="s">
        <v>16</v>
      </c>
      <c r="I99" s="10" t="s">
        <v>16</v>
      </c>
      <c r="J99" s="10" t="s">
        <v>16</v>
      </c>
      <c r="K99" s="10" t="s">
        <v>16</v>
      </c>
    </row>
    <row r="100" spans="1:11" ht="22.5" customHeight="1" x14ac:dyDescent="0.5">
      <c r="A100" s="6" t="s">
        <v>94</v>
      </c>
      <c r="B100" s="7" t="s">
        <v>79</v>
      </c>
      <c r="C100" s="18" t="s">
        <v>182</v>
      </c>
      <c r="D100" s="8" t="s">
        <v>95</v>
      </c>
      <c r="E100" s="8" t="s">
        <v>96</v>
      </c>
      <c r="F100" s="10" t="s">
        <v>16</v>
      </c>
      <c r="G100" s="10" t="s">
        <v>16</v>
      </c>
      <c r="H100" s="10" t="s">
        <v>16</v>
      </c>
      <c r="I100" s="10" t="s">
        <v>16</v>
      </c>
      <c r="J100" s="10" t="s">
        <v>16</v>
      </c>
      <c r="K100" s="10" t="s">
        <v>16</v>
      </c>
    </row>
    <row r="101" spans="1:11" ht="22.5" customHeight="1" x14ac:dyDescent="0.5">
      <c r="A101" s="11" t="s">
        <v>97</v>
      </c>
      <c r="B101" s="12" t="s">
        <v>79</v>
      </c>
      <c r="C101" s="12" t="s">
        <v>182</v>
      </c>
      <c r="D101" s="8" t="s">
        <v>98</v>
      </c>
      <c r="E101" s="8" t="s">
        <v>99</v>
      </c>
      <c r="F101" s="10" t="s">
        <v>16</v>
      </c>
      <c r="G101" s="10" t="s">
        <v>16</v>
      </c>
      <c r="H101" s="10" t="s">
        <v>16</v>
      </c>
      <c r="I101" s="10" t="s">
        <v>16</v>
      </c>
      <c r="J101" s="10" t="s">
        <v>16</v>
      </c>
      <c r="K101" s="10" t="s">
        <v>16</v>
      </c>
    </row>
    <row r="102" spans="1:11" ht="22.5" customHeight="1" x14ac:dyDescent="0.5">
      <c r="A102" s="6" t="s">
        <v>100</v>
      </c>
      <c r="B102" s="7" t="s">
        <v>79</v>
      </c>
      <c r="C102" s="12" t="s">
        <v>182</v>
      </c>
      <c r="D102" s="8" t="s">
        <v>101</v>
      </c>
      <c r="E102" s="8" t="s">
        <v>102</v>
      </c>
      <c r="F102" s="10" t="s">
        <v>16</v>
      </c>
      <c r="G102" s="10" t="s">
        <v>16</v>
      </c>
      <c r="H102" s="10" t="s">
        <v>16</v>
      </c>
      <c r="I102" s="10" t="s">
        <v>16</v>
      </c>
      <c r="J102" s="10" t="s">
        <v>16</v>
      </c>
      <c r="K102" s="10" t="s">
        <v>16</v>
      </c>
    </row>
    <row r="103" spans="1:11" ht="22.5" customHeight="1" x14ac:dyDescent="0.5">
      <c r="A103" s="11" t="s">
        <v>103</v>
      </c>
      <c r="B103" s="12" t="s">
        <v>79</v>
      </c>
      <c r="C103" s="12" t="s">
        <v>182</v>
      </c>
      <c r="D103" s="8" t="s">
        <v>104</v>
      </c>
      <c r="E103" s="8" t="s">
        <v>105</v>
      </c>
      <c r="F103" s="10" t="s">
        <v>16</v>
      </c>
      <c r="G103" s="10" t="s">
        <v>16</v>
      </c>
      <c r="H103" s="10" t="s">
        <v>16</v>
      </c>
      <c r="I103" s="10" t="s">
        <v>16</v>
      </c>
      <c r="J103" s="10" t="s">
        <v>16</v>
      </c>
      <c r="K103" s="10" t="s">
        <v>16</v>
      </c>
    </row>
    <row r="104" spans="1:11" ht="22.5" customHeight="1" x14ac:dyDescent="0.5">
      <c r="A104" s="6" t="s">
        <v>106</v>
      </c>
      <c r="B104" s="7" t="s">
        <v>79</v>
      </c>
      <c r="C104" s="12" t="s">
        <v>182</v>
      </c>
      <c r="D104" s="8" t="s">
        <v>107</v>
      </c>
      <c r="E104" s="8" t="s">
        <v>108</v>
      </c>
      <c r="F104" s="10" t="s">
        <v>16</v>
      </c>
      <c r="G104" s="10" t="s">
        <v>16</v>
      </c>
      <c r="H104" s="10" t="s">
        <v>16</v>
      </c>
      <c r="I104" s="10" t="s">
        <v>16</v>
      </c>
      <c r="J104" s="10" t="s">
        <v>16</v>
      </c>
      <c r="K104" s="10" t="s">
        <v>16</v>
      </c>
    </row>
    <row r="105" spans="1:11" ht="22.5" customHeight="1" x14ac:dyDescent="0.5">
      <c r="A105" s="11" t="s">
        <v>109</v>
      </c>
      <c r="B105" s="12" t="s">
        <v>79</v>
      </c>
      <c r="C105" s="12" t="s">
        <v>182</v>
      </c>
      <c r="D105" s="8" t="s">
        <v>110</v>
      </c>
      <c r="E105" s="8" t="s">
        <v>111</v>
      </c>
      <c r="F105" s="10" t="s">
        <v>16</v>
      </c>
      <c r="G105" s="10" t="s">
        <v>16</v>
      </c>
      <c r="H105" s="10" t="s">
        <v>16</v>
      </c>
      <c r="I105" s="10" t="s">
        <v>16</v>
      </c>
      <c r="J105" s="10" t="s">
        <v>16</v>
      </c>
      <c r="K105" s="10" t="s">
        <v>16</v>
      </c>
    </row>
    <row r="106" spans="1:11" ht="22.5" customHeight="1" x14ac:dyDescent="0.5">
      <c r="A106" s="6" t="s">
        <v>112</v>
      </c>
      <c r="B106" s="7" t="s">
        <v>79</v>
      </c>
      <c r="C106" s="12" t="s">
        <v>182</v>
      </c>
      <c r="D106" s="8" t="s">
        <v>113</v>
      </c>
      <c r="E106" s="8" t="s">
        <v>114</v>
      </c>
      <c r="F106" s="10" t="s">
        <v>16</v>
      </c>
      <c r="G106" s="10" t="s">
        <v>16</v>
      </c>
      <c r="H106" s="10" t="s">
        <v>16</v>
      </c>
      <c r="I106" s="10" t="s">
        <v>16</v>
      </c>
      <c r="J106" s="10" t="s">
        <v>16</v>
      </c>
      <c r="K106" s="10" t="s">
        <v>16</v>
      </c>
    </row>
    <row r="107" spans="1:11" ht="22.5" customHeight="1" x14ac:dyDescent="0.5">
      <c r="A107" s="11" t="s">
        <v>115</v>
      </c>
      <c r="B107" s="12" t="s">
        <v>79</v>
      </c>
      <c r="C107" s="12" t="s">
        <v>182</v>
      </c>
      <c r="D107" s="8" t="s">
        <v>116</v>
      </c>
      <c r="E107" s="8" t="s">
        <v>117</v>
      </c>
      <c r="F107" s="10" t="s">
        <v>16</v>
      </c>
      <c r="G107" s="10" t="s">
        <v>16</v>
      </c>
      <c r="H107" s="10" t="s">
        <v>16</v>
      </c>
      <c r="I107" s="10" t="s">
        <v>16</v>
      </c>
      <c r="J107" s="10" t="s">
        <v>16</v>
      </c>
      <c r="K107" s="10" t="s">
        <v>16</v>
      </c>
    </row>
    <row r="108" spans="1:11" ht="22.5" customHeight="1" x14ac:dyDescent="0.5">
      <c r="A108" s="6" t="s">
        <v>118</v>
      </c>
      <c r="B108" s="7" t="s">
        <v>79</v>
      </c>
      <c r="C108" s="12" t="s">
        <v>182</v>
      </c>
      <c r="D108" s="8" t="s">
        <v>119</v>
      </c>
      <c r="E108" s="8" t="s">
        <v>120</v>
      </c>
      <c r="F108" s="10" t="s">
        <v>13</v>
      </c>
      <c r="G108" s="10" t="s">
        <v>13</v>
      </c>
      <c r="H108" s="10" t="s">
        <v>13</v>
      </c>
      <c r="I108" s="10" t="s">
        <v>13</v>
      </c>
      <c r="J108" s="10" t="s">
        <v>13</v>
      </c>
      <c r="K108" s="10" t="s">
        <v>13</v>
      </c>
    </row>
    <row r="109" spans="1:11" ht="22.5" customHeight="1" x14ac:dyDescent="0.5">
      <c r="A109" s="11" t="s">
        <v>121</v>
      </c>
      <c r="B109" s="12" t="s">
        <v>79</v>
      </c>
      <c r="C109" s="12" t="s">
        <v>182</v>
      </c>
      <c r="D109" s="8" t="s">
        <v>122</v>
      </c>
      <c r="E109" s="8" t="s">
        <v>123</v>
      </c>
      <c r="F109" s="10" t="s">
        <v>16</v>
      </c>
      <c r="G109" s="10" t="s">
        <v>16</v>
      </c>
      <c r="H109" s="10" t="s">
        <v>16</v>
      </c>
      <c r="I109" s="10" t="s">
        <v>16</v>
      </c>
      <c r="J109" s="10" t="s">
        <v>16</v>
      </c>
      <c r="K109" s="10" t="s">
        <v>16</v>
      </c>
    </row>
    <row r="110" spans="1:11" ht="22.5" customHeight="1" x14ac:dyDescent="0.5">
      <c r="A110" s="6" t="s">
        <v>124</v>
      </c>
      <c r="B110" s="7" t="s">
        <v>79</v>
      </c>
      <c r="C110" s="12" t="s">
        <v>182</v>
      </c>
      <c r="D110" s="8" t="s">
        <v>125</v>
      </c>
      <c r="E110" s="8" t="s">
        <v>126</v>
      </c>
      <c r="F110" s="10" t="s">
        <v>13</v>
      </c>
      <c r="G110" s="10" t="s">
        <v>13</v>
      </c>
      <c r="H110" s="10" t="s">
        <v>13</v>
      </c>
      <c r="I110" s="10" t="s">
        <v>13</v>
      </c>
      <c r="J110" s="10" t="s">
        <v>13</v>
      </c>
      <c r="K110" s="10" t="s">
        <v>13</v>
      </c>
    </row>
    <row r="111" spans="1:11" ht="22.5" customHeight="1" x14ac:dyDescent="0.5">
      <c r="A111" s="11" t="s">
        <v>127</v>
      </c>
      <c r="B111" s="12" t="s">
        <v>79</v>
      </c>
      <c r="C111" s="12" t="s">
        <v>182</v>
      </c>
      <c r="D111" s="8" t="s">
        <v>128</v>
      </c>
      <c r="E111" s="8" t="s">
        <v>129</v>
      </c>
      <c r="F111" s="10" t="s">
        <v>16</v>
      </c>
      <c r="G111" s="10" t="s">
        <v>16</v>
      </c>
      <c r="H111" s="10" t="s">
        <v>16</v>
      </c>
      <c r="I111" s="10" t="s">
        <v>16</v>
      </c>
      <c r="J111" s="10" t="s">
        <v>16</v>
      </c>
      <c r="K111" s="10" t="s">
        <v>16</v>
      </c>
    </row>
    <row r="112" spans="1:11" ht="22.5" customHeight="1" x14ac:dyDescent="0.5">
      <c r="A112" s="6" t="s">
        <v>130</v>
      </c>
      <c r="B112" s="7" t="s">
        <v>79</v>
      </c>
      <c r="C112" s="12" t="s">
        <v>182</v>
      </c>
      <c r="D112" s="8" t="s">
        <v>131</v>
      </c>
      <c r="E112" s="8" t="s">
        <v>132</v>
      </c>
      <c r="F112" s="10" t="s">
        <v>13</v>
      </c>
      <c r="G112" s="10" t="s">
        <v>13</v>
      </c>
      <c r="H112" s="10" t="s">
        <v>13</v>
      </c>
      <c r="I112" s="10" t="s">
        <v>13</v>
      </c>
      <c r="J112" s="10" t="s">
        <v>13</v>
      </c>
      <c r="K112" s="10" t="s">
        <v>13</v>
      </c>
    </row>
    <row r="113" spans="1:11" ht="22.5" customHeight="1" x14ac:dyDescent="0.5">
      <c r="A113" s="11" t="s">
        <v>133</v>
      </c>
      <c r="B113" s="12" t="s">
        <v>79</v>
      </c>
      <c r="C113" s="12" t="s">
        <v>182</v>
      </c>
      <c r="D113" s="8" t="s">
        <v>134</v>
      </c>
      <c r="E113" s="8" t="s">
        <v>135</v>
      </c>
      <c r="F113" s="10" t="s">
        <v>13</v>
      </c>
      <c r="G113" s="10" t="s">
        <v>13</v>
      </c>
      <c r="H113" s="10" t="s">
        <v>13</v>
      </c>
      <c r="I113" s="10" t="s">
        <v>13</v>
      </c>
      <c r="J113" s="10" t="s">
        <v>13</v>
      </c>
      <c r="K113" s="10" t="s">
        <v>13</v>
      </c>
    </row>
    <row r="114" spans="1:11" ht="22.5" customHeight="1" x14ac:dyDescent="0.5">
      <c r="A114" s="6" t="s">
        <v>136</v>
      </c>
      <c r="B114" s="7" t="s">
        <v>79</v>
      </c>
      <c r="C114" s="12" t="s">
        <v>182</v>
      </c>
      <c r="D114" s="8" t="s">
        <v>137</v>
      </c>
      <c r="E114" s="8" t="s">
        <v>138</v>
      </c>
      <c r="F114" s="10" t="s">
        <v>16</v>
      </c>
      <c r="G114" s="10" t="s">
        <v>16</v>
      </c>
      <c r="H114" s="10" t="s">
        <v>16</v>
      </c>
      <c r="I114" s="10" t="s">
        <v>16</v>
      </c>
      <c r="J114" s="10" t="s">
        <v>16</v>
      </c>
      <c r="K114" s="10" t="s">
        <v>16</v>
      </c>
    </row>
    <row r="115" spans="1:11" ht="22.5" customHeight="1" x14ac:dyDescent="0.5">
      <c r="A115" s="11" t="s">
        <v>139</v>
      </c>
      <c r="B115" s="12" t="s">
        <v>79</v>
      </c>
      <c r="C115" s="12" t="s">
        <v>182</v>
      </c>
      <c r="D115" s="8" t="s">
        <v>140</v>
      </c>
      <c r="E115" s="8" t="s">
        <v>141</v>
      </c>
      <c r="F115" s="10" t="s">
        <v>13</v>
      </c>
      <c r="G115" s="10" t="s">
        <v>13</v>
      </c>
      <c r="H115" s="10" t="s">
        <v>13</v>
      </c>
      <c r="I115" s="10" t="s">
        <v>13</v>
      </c>
      <c r="J115" s="10" t="s">
        <v>13</v>
      </c>
      <c r="K115" s="10" t="s">
        <v>13</v>
      </c>
    </row>
    <row r="116" spans="1:11" ht="22.5" customHeight="1" x14ac:dyDescent="0.5">
      <c r="A116" s="6" t="s">
        <v>142</v>
      </c>
      <c r="B116" s="7" t="s">
        <v>79</v>
      </c>
      <c r="C116" s="12" t="s">
        <v>182</v>
      </c>
      <c r="D116" s="8" t="s">
        <v>143</v>
      </c>
      <c r="E116" s="8" t="s">
        <v>144</v>
      </c>
      <c r="F116" s="10" t="s">
        <v>16</v>
      </c>
      <c r="G116" s="10" t="s">
        <v>16</v>
      </c>
      <c r="H116" s="10" t="s">
        <v>16</v>
      </c>
      <c r="I116" s="10" t="s">
        <v>16</v>
      </c>
      <c r="J116" s="10" t="s">
        <v>16</v>
      </c>
      <c r="K116" s="10" t="s">
        <v>16</v>
      </c>
    </row>
    <row r="117" spans="1:11" ht="22.5" customHeight="1" x14ac:dyDescent="0.5">
      <c r="A117" s="11" t="s">
        <v>145</v>
      </c>
      <c r="B117" s="12" t="s">
        <v>79</v>
      </c>
      <c r="C117" s="12" t="s">
        <v>182</v>
      </c>
      <c r="D117" s="8" t="s">
        <v>146</v>
      </c>
      <c r="E117" s="8" t="s">
        <v>147</v>
      </c>
      <c r="F117" s="10" t="s">
        <v>13</v>
      </c>
      <c r="G117" s="10" t="s">
        <v>13</v>
      </c>
      <c r="H117" s="10" t="s">
        <v>13</v>
      </c>
      <c r="I117" s="10" t="s">
        <v>13</v>
      </c>
      <c r="J117" s="10" t="s">
        <v>13</v>
      </c>
      <c r="K117" s="10" t="s">
        <v>13</v>
      </c>
    </row>
    <row r="118" spans="1:11" ht="22.5" customHeight="1" x14ac:dyDescent="0.5">
      <c r="A118" s="6" t="s">
        <v>148</v>
      </c>
      <c r="B118" s="7" t="s">
        <v>79</v>
      </c>
      <c r="C118" s="12" t="s">
        <v>182</v>
      </c>
      <c r="D118" s="8" t="s">
        <v>149</v>
      </c>
      <c r="E118" s="8" t="s">
        <v>150</v>
      </c>
      <c r="F118" s="10" t="s">
        <v>16</v>
      </c>
      <c r="G118" s="10" t="s">
        <v>16</v>
      </c>
      <c r="H118" s="10" t="s">
        <v>16</v>
      </c>
      <c r="I118" s="10" t="s">
        <v>16</v>
      </c>
      <c r="J118" s="10" t="s">
        <v>16</v>
      </c>
      <c r="K118" s="10" t="s">
        <v>16</v>
      </c>
    </row>
    <row r="119" spans="1:11" ht="22.5" customHeight="1" x14ac:dyDescent="0.5">
      <c r="A119" s="11" t="s">
        <v>151</v>
      </c>
      <c r="B119" s="12" t="s">
        <v>79</v>
      </c>
      <c r="C119" s="12" t="s">
        <v>182</v>
      </c>
      <c r="D119" s="8" t="s">
        <v>152</v>
      </c>
      <c r="E119" s="8" t="s">
        <v>153</v>
      </c>
      <c r="F119" s="10" t="s">
        <v>16</v>
      </c>
      <c r="G119" s="10" t="s">
        <v>16</v>
      </c>
      <c r="H119" s="10" t="s">
        <v>16</v>
      </c>
      <c r="I119" s="10" t="s">
        <v>16</v>
      </c>
      <c r="J119" s="10" t="s">
        <v>16</v>
      </c>
      <c r="K119" s="10" t="s">
        <v>16</v>
      </c>
    </row>
    <row r="120" spans="1:11" ht="22.5" customHeight="1" x14ac:dyDescent="0.5">
      <c r="A120" s="6" t="s">
        <v>154</v>
      </c>
      <c r="B120" s="7" t="s">
        <v>79</v>
      </c>
      <c r="C120" s="12" t="s">
        <v>182</v>
      </c>
      <c r="D120" s="8" t="s">
        <v>155</v>
      </c>
      <c r="E120" s="8" t="s">
        <v>156</v>
      </c>
      <c r="F120" s="10" t="s">
        <v>16</v>
      </c>
      <c r="G120" s="10" t="s">
        <v>16</v>
      </c>
      <c r="H120" s="10" t="s">
        <v>16</v>
      </c>
      <c r="I120" s="10" t="s">
        <v>16</v>
      </c>
      <c r="J120" s="10" t="s">
        <v>16</v>
      </c>
      <c r="K120" s="10" t="s">
        <v>16</v>
      </c>
    </row>
    <row r="121" spans="1:11" ht="22.5" customHeight="1" x14ac:dyDescent="0.5">
      <c r="A121" s="11" t="s">
        <v>157</v>
      </c>
      <c r="B121" s="12" t="s">
        <v>79</v>
      </c>
      <c r="C121" s="12" t="s">
        <v>182</v>
      </c>
      <c r="D121" s="8" t="s">
        <v>158</v>
      </c>
      <c r="E121" s="8" t="s">
        <v>159</v>
      </c>
      <c r="F121" s="10" t="s">
        <v>13</v>
      </c>
      <c r="G121" s="10" t="s">
        <v>13</v>
      </c>
      <c r="H121" s="10" t="s">
        <v>13</v>
      </c>
      <c r="I121" s="10" t="s">
        <v>13</v>
      </c>
      <c r="J121" s="10" t="s">
        <v>13</v>
      </c>
      <c r="K121" s="10" t="s">
        <v>13</v>
      </c>
    </row>
    <row r="122" spans="1:11" ht="22.5" customHeight="1" x14ac:dyDescent="0.5">
      <c r="A122" s="6" t="s">
        <v>160</v>
      </c>
      <c r="B122" s="7" t="s">
        <v>79</v>
      </c>
      <c r="C122" s="12" t="s">
        <v>182</v>
      </c>
      <c r="D122" s="8" t="s">
        <v>161</v>
      </c>
      <c r="E122" s="8" t="s">
        <v>162</v>
      </c>
      <c r="F122" s="10" t="s">
        <v>16</v>
      </c>
      <c r="G122" s="10" t="s">
        <v>16</v>
      </c>
      <c r="H122" s="10" t="s">
        <v>16</v>
      </c>
      <c r="I122" s="10" t="s">
        <v>16</v>
      </c>
      <c r="J122" s="10" t="s">
        <v>16</v>
      </c>
      <c r="K122" s="10" t="s">
        <v>16</v>
      </c>
    </row>
    <row r="123" spans="1:11" ht="22.5" customHeight="1" x14ac:dyDescent="0.5">
      <c r="A123" s="11" t="s">
        <v>163</v>
      </c>
      <c r="B123" s="12" t="s">
        <v>79</v>
      </c>
      <c r="C123" s="12" t="s">
        <v>182</v>
      </c>
      <c r="D123" s="8" t="s">
        <v>164</v>
      </c>
      <c r="E123" s="8" t="s">
        <v>165</v>
      </c>
      <c r="F123" s="10" t="s">
        <v>16</v>
      </c>
      <c r="G123" s="10" t="s">
        <v>16</v>
      </c>
      <c r="H123" s="10" t="s">
        <v>16</v>
      </c>
      <c r="I123" s="10" t="s">
        <v>16</v>
      </c>
      <c r="J123" s="10" t="s">
        <v>16</v>
      </c>
      <c r="K123" s="10" t="s">
        <v>16</v>
      </c>
    </row>
    <row r="124" spans="1:11" ht="22.5" customHeight="1" x14ac:dyDescent="0.5">
      <c r="A124" s="6" t="s">
        <v>166</v>
      </c>
      <c r="B124" s="7" t="s">
        <v>79</v>
      </c>
      <c r="C124" s="12" t="s">
        <v>182</v>
      </c>
      <c r="D124" s="8" t="s">
        <v>167</v>
      </c>
      <c r="E124" s="8" t="s">
        <v>168</v>
      </c>
      <c r="F124" s="10" t="s">
        <v>13</v>
      </c>
      <c r="G124" s="10" t="s">
        <v>13</v>
      </c>
      <c r="H124" s="10" t="s">
        <v>13</v>
      </c>
      <c r="I124" s="10" t="s">
        <v>13</v>
      </c>
      <c r="J124" s="10" t="s">
        <v>13</v>
      </c>
      <c r="K124" s="10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fillers</vt:lpstr>
      <vt:lpstr>questions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Oliveira</cp:lastModifiedBy>
  <dcterms:created xsi:type="dcterms:W3CDTF">2026-06-26T00:11:53Z</dcterms:created>
  <dcterms:modified xsi:type="dcterms:W3CDTF">2026-07-01T19:52:47Z</dcterms:modified>
</cp:coreProperties>
</file>